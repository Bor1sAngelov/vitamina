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90" windowWidth="11280" windowHeight="4950"/>
  </bookViews>
  <sheets>
    <sheet name="Декември" sheetId="1" r:id="rId1"/>
    <sheet name="февруари" sheetId="6" r:id="rId2"/>
    <sheet name="КУПИ" sheetId="7" r:id="rId3"/>
    <sheet name="засита" sheetId="2" r:id="rId4"/>
    <sheet name="папагал" sheetId="3" r:id="rId5"/>
    <sheet name="цезар" sheetId="4" r:id="rId6"/>
    <sheet name="изобилие" sheetId="5" r:id="rId7"/>
    <sheet name="зелено смути" sheetId="8" r:id="rId8"/>
    <sheet name="Енерджи" sheetId="9" r:id="rId9"/>
    <sheet name="Детокс" sheetId="10" r:id="rId10"/>
    <sheet name="Розово" sheetId="11" r:id="rId11"/>
    <sheet name="Салати" sheetId="12" r:id="rId12"/>
    <sheet name="Sheet1" sheetId="13" r:id="rId13"/>
  </sheets>
  <definedNames>
    <definedName name="_xlnm._FilterDatabase" localSheetId="0" hidden="1">Декември!$A$1:$F$59</definedName>
  </definedNames>
  <calcPr calcId="125725"/>
</workbook>
</file>

<file path=xl/calcChain.xml><?xml version="1.0" encoding="utf-8"?>
<calcChain xmlns="http://schemas.openxmlformats.org/spreadsheetml/2006/main">
  <c r="N1" i="13"/>
  <c r="M1"/>
  <c r="L1"/>
  <c r="K1"/>
  <c r="E1"/>
  <c r="P5" i="1"/>
  <c r="Q5"/>
  <c r="R5"/>
  <c r="O5"/>
  <c r="B8" i="8"/>
  <c r="E8" i="11"/>
  <c r="F8"/>
  <c r="D8"/>
  <c r="C8"/>
  <c r="B8"/>
  <c r="K29" i="1"/>
  <c r="F7" i="10"/>
  <c r="E7"/>
  <c r="D7"/>
  <c r="C7"/>
  <c r="B7"/>
  <c r="F8" i="9"/>
  <c r="E8"/>
  <c r="D8"/>
  <c r="C8"/>
  <c r="B8"/>
  <c r="D8" i="8"/>
  <c r="E8"/>
  <c r="F8"/>
  <c r="C8"/>
  <c r="N3" i="1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N2"/>
  <c r="M2"/>
  <c r="L2"/>
  <c r="I16" i="6"/>
  <c r="I12"/>
  <c r="C13" i="7"/>
  <c r="C12"/>
  <c r="C11"/>
  <c r="C9"/>
  <c r="C8"/>
  <c r="C7"/>
  <c r="C6"/>
  <c r="C5"/>
  <c r="C3"/>
  <c r="C2"/>
  <c r="C4"/>
  <c r="E10" i="2"/>
  <c r="E4" i="6"/>
  <c r="I17"/>
  <c r="I13"/>
  <c r="I9"/>
  <c r="I4"/>
  <c r="I7"/>
  <c r="G5"/>
  <c r="I5" s="1"/>
  <c r="I26"/>
  <c r="I3"/>
  <c r="I2"/>
  <c r="I8"/>
  <c r="G8"/>
  <c r="E28"/>
  <c r="F28"/>
  <c r="F8"/>
  <c r="E8"/>
  <c r="E3"/>
  <c r="F3"/>
  <c r="E2"/>
  <c r="F2"/>
  <c r="H59"/>
  <c r="D50"/>
  <c r="H48"/>
  <c r="H45"/>
  <c r="H44"/>
  <c r="D44"/>
  <c r="H41"/>
  <c r="H39"/>
  <c r="H38"/>
  <c r="D32"/>
  <c r="H32" s="1"/>
  <c r="H30"/>
  <c r="H29"/>
  <c r="D29"/>
  <c r="H27"/>
  <c r="D26"/>
  <c r="H26" s="1"/>
  <c r="D25"/>
  <c r="H25" s="1"/>
  <c r="H24"/>
  <c r="D23"/>
  <c r="H23" s="1"/>
  <c r="H22"/>
  <c r="H21"/>
  <c r="H20"/>
  <c r="D20"/>
  <c r="H19"/>
  <c r="D18"/>
  <c r="H18" s="1"/>
  <c r="H17"/>
  <c r="H16"/>
  <c r="H15"/>
  <c r="H14"/>
  <c r="H13"/>
  <c r="H12"/>
  <c r="D11"/>
  <c r="H11" s="1"/>
  <c r="H9"/>
  <c r="H8"/>
  <c r="H7"/>
  <c r="H6"/>
  <c r="D6"/>
  <c r="H5"/>
  <c r="D5"/>
  <c r="H4"/>
  <c r="H3"/>
  <c r="H2"/>
  <c r="E22" i="1"/>
  <c r="E41"/>
  <c r="E38"/>
  <c r="E39"/>
  <c r="E30"/>
  <c r="D30"/>
  <c r="E45"/>
  <c r="E59"/>
  <c r="D44"/>
  <c r="E44" s="1"/>
  <c r="E48"/>
  <c r="D11"/>
  <c r="E11" s="1"/>
  <c r="E31"/>
  <c r="E28"/>
  <c r="E25"/>
  <c r="E23"/>
  <c r="D19"/>
  <c r="E19" s="1"/>
  <c r="D26"/>
  <c r="E26" s="1"/>
  <c r="D32"/>
  <c r="E32" s="1"/>
  <c r="D24"/>
  <c r="E24" s="1"/>
  <c r="D21"/>
  <c r="E21" s="1"/>
  <c r="E20"/>
  <c r="E17"/>
  <c r="E16"/>
  <c r="E15"/>
  <c r="E14"/>
  <c r="E13"/>
  <c r="E12"/>
  <c r="E9"/>
  <c r="E8"/>
  <c r="E7"/>
  <c r="E4"/>
  <c r="E3"/>
  <c r="D6"/>
  <c r="E6" s="1"/>
  <c r="D50"/>
  <c r="D5"/>
  <c r="D27"/>
  <c r="E27" s="1"/>
  <c r="E5"/>
  <c r="E2"/>
</calcChain>
</file>

<file path=xl/sharedStrings.xml><?xml version="1.0" encoding="utf-8"?>
<sst xmlns="http://schemas.openxmlformats.org/spreadsheetml/2006/main" count="313" uniqueCount="158">
  <si>
    <t>пиле</t>
  </si>
  <si>
    <t>Бекон</t>
  </si>
  <si>
    <t>шунка</t>
  </si>
  <si>
    <t>пармезан</t>
  </si>
  <si>
    <t>сирене</t>
  </si>
  <si>
    <t>кашкавал</t>
  </si>
  <si>
    <t>моцарела</t>
  </si>
  <si>
    <t>риба</t>
  </si>
  <si>
    <t>авокадо</t>
  </si>
  <si>
    <t>зелена салата</t>
  </si>
  <si>
    <t>краставица</t>
  </si>
  <si>
    <t>домати</t>
  </si>
  <si>
    <t>спанак</t>
  </si>
  <si>
    <t xml:space="preserve">зеле </t>
  </si>
  <si>
    <t>морков</t>
  </si>
  <si>
    <t>чушка</t>
  </si>
  <si>
    <t>лук</t>
  </si>
  <si>
    <t>цвекло</t>
  </si>
  <si>
    <t>нахут</t>
  </si>
  <si>
    <t>булгур</t>
  </si>
  <si>
    <t>зелен боб</t>
  </si>
  <si>
    <t>гъби</t>
  </si>
  <si>
    <t>киноа</t>
  </si>
  <si>
    <t>царевица</t>
  </si>
  <si>
    <t>яйце</t>
  </si>
  <si>
    <t>маслина</t>
  </si>
  <si>
    <t>крутони</t>
  </si>
  <si>
    <t>зелена ябълка</t>
  </si>
  <si>
    <t>червен боб</t>
  </si>
  <si>
    <t>семена</t>
  </si>
  <si>
    <t>нар</t>
  </si>
  <si>
    <t>картоф</t>
  </si>
  <si>
    <t>брокол</t>
  </si>
  <si>
    <t>ориз</t>
  </si>
  <si>
    <t>дженовезе</t>
  </si>
  <si>
    <t>меден</t>
  </si>
  <si>
    <t>млечен</t>
  </si>
  <si>
    <t>магданозен</t>
  </si>
  <si>
    <t xml:space="preserve">паста </t>
  </si>
  <si>
    <t>АРТИКУЛ</t>
  </si>
  <si>
    <t>БРОЙ с прибор, който се ползва</t>
  </si>
  <si>
    <t>ГРАМАЖ в гр.</t>
  </si>
  <si>
    <t>хумус</t>
  </si>
  <si>
    <t>цена лв/кг</t>
  </si>
  <si>
    <t>Маскарпоне</t>
  </si>
  <si>
    <t>Ралица 4.5%</t>
  </si>
  <si>
    <t>Майонеза</t>
  </si>
  <si>
    <t>чедър / ементал за бр</t>
  </si>
  <si>
    <t>горчица</t>
  </si>
  <si>
    <t>Цена на доза в салатата</t>
  </si>
  <si>
    <t>чесън</t>
  </si>
  <si>
    <t>Кашу</t>
  </si>
  <si>
    <t>-</t>
  </si>
  <si>
    <t>портокал</t>
  </si>
  <si>
    <t>банан</t>
  </si>
  <si>
    <t>чиа</t>
  </si>
  <si>
    <t>орех</t>
  </si>
  <si>
    <t>41.5 за 0.95 кг</t>
  </si>
  <si>
    <t>7.60 за 1.200 кг</t>
  </si>
  <si>
    <t>2 лв за 1 бр от 153 гр чист нар</t>
  </si>
  <si>
    <t>чесън на прах</t>
  </si>
  <si>
    <t>авокаден</t>
  </si>
  <si>
    <t>копър на прах</t>
  </si>
  <si>
    <t>12 лв за 1 кофа 2.900кг</t>
  </si>
  <si>
    <t>от 1 кг излизат 770 гр изпечени крутони</t>
  </si>
  <si>
    <t>фр лимон</t>
  </si>
  <si>
    <t xml:space="preserve">0.500 л=2.52 лв </t>
  </si>
  <si>
    <t>лимонов</t>
  </si>
  <si>
    <t>от 100 гр замразено се получават 90 гр сварено</t>
  </si>
  <si>
    <t>морков т</t>
  </si>
  <si>
    <t>себестойност на доза в салатата</t>
  </si>
  <si>
    <t>цена евро/кг фверуари</t>
  </si>
  <si>
    <t>цена евро/кг декември</t>
  </si>
  <si>
    <t>0.91*1.2*8 защото в 1кг има 8 бр*125</t>
  </si>
  <si>
    <t>увеличение със 0.60 лв за кг спрямо февруари</t>
  </si>
  <si>
    <t>0.64 увеличенив за пакет от 2.5 кг</t>
  </si>
  <si>
    <t>0.63 увеличение за кг</t>
  </si>
  <si>
    <t>цена МАРТ</t>
  </si>
  <si>
    <t>СЕБЕСТОЙНОСТ МАРТ</t>
  </si>
  <si>
    <t>ЯБЪЛКА ПРИНС</t>
  </si>
  <si>
    <t>ВИЛИЦА</t>
  </si>
  <si>
    <t>ЛЪЖИЦА</t>
  </si>
  <si>
    <t>КУПА СУПА</t>
  </si>
  <si>
    <t>КУПА САЛАТА</t>
  </si>
  <si>
    <t>КУПА ТОПЛА</t>
  </si>
  <si>
    <t>САЛФАЕТКА</t>
  </si>
  <si>
    <t>ОПАКОВКА</t>
  </si>
  <si>
    <t>ЦЕНА ЗА ПАКЕТ</t>
  </si>
  <si>
    <t>ЕД.ЦЕНА</t>
  </si>
  <si>
    <t>КАПАК САЛАТА</t>
  </si>
  <si>
    <t>ПЛИК ПОТНИК М</t>
  </si>
  <si>
    <t>ПЛИК ПОТНИК Г</t>
  </si>
  <si>
    <t>ХАРТИЕНА ЧАНТА НАЙ-МАЛКИ</t>
  </si>
  <si>
    <t>ХАРТИЕНА ЧАНТА Ш.Д</t>
  </si>
  <si>
    <t>kcal 100 гр</t>
  </si>
  <si>
    <t>въглехидрат в 100 гр</t>
  </si>
  <si>
    <t>протеин в 100 гр.</t>
  </si>
  <si>
    <t>мазнини в 100 гр.</t>
  </si>
  <si>
    <t>въглехидрат в доза</t>
  </si>
  <si>
    <t>протеин в доза</t>
  </si>
  <si>
    <t>мазнини в доза</t>
  </si>
  <si>
    <t>чушка печена</t>
  </si>
  <si>
    <t>чушка сурова</t>
  </si>
  <si>
    <t>Спанак</t>
  </si>
  <si>
    <t>Банан</t>
  </si>
  <si>
    <t>Чия</t>
  </si>
  <si>
    <t>Ананас</t>
  </si>
  <si>
    <t>Ваниялия</t>
  </si>
  <si>
    <t>Продукт</t>
  </si>
  <si>
    <t>грамаж</t>
  </si>
  <si>
    <t>Kcal в доза</t>
  </si>
  <si>
    <t>Kcal</t>
  </si>
  <si>
    <t>В</t>
  </si>
  <si>
    <t>П</t>
  </si>
  <si>
    <t>М</t>
  </si>
  <si>
    <t>Общо</t>
  </si>
  <si>
    <t>Мляко прясно</t>
  </si>
  <si>
    <t>Бадем</t>
  </si>
  <si>
    <t>Ов. Ядки</t>
  </si>
  <si>
    <t>ПР. Мляко</t>
  </si>
  <si>
    <t>мед</t>
  </si>
  <si>
    <t>Канела</t>
  </si>
  <si>
    <t>Краставица</t>
  </si>
  <si>
    <t>Магданоз</t>
  </si>
  <si>
    <t>Морков</t>
  </si>
  <si>
    <t>Вода</t>
  </si>
  <si>
    <t>Ягоди</t>
  </si>
  <si>
    <t>Малини</t>
  </si>
  <si>
    <t>Ябълка</t>
  </si>
  <si>
    <t>К.мляко</t>
  </si>
  <si>
    <t>Мед</t>
  </si>
  <si>
    <t>пр.мляко</t>
  </si>
  <si>
    <t>гр</t>
  </si>
  <si>
    <t>Общо:</t>
  </si>
  <si>
    <t>172/168</t>
  </si>
  <si>
    <t>4/3</t>
  </si>
  <si>
    <t>5/9</t>
  </si>
  <si>
    <t>15/15</t>
  </si>
  <si>
    <t>80 grama</t>
  </si>
  <si>
    <t>30 grama</t>
  </si>
  <si>
    <t>50 grama</t>
  </si>
  <si>
    <t>40 grama</t>
  </si>
  <si>
    <t>Салати</t>
  </si>
  <si>
    <t>Финес</t>
  </si>
  <si>
    <t>Изобилие</t>
  </si>
  <si>
    <t>Българка</t>
  </si>
  <si>
    <t>Витамина</t>
  </si>
  <si>
    <t>Американо</t>
  </si>
  <si>
    <t>Папагал</t>
  </si>
  <si>
    <t>Цезар</t>
  </si>
  <si>
    <t>Здраве</t>
  </si>
  <si>
    <t>Риба тон</t>
  </si>
  <si>
    <t>Засита</t>
  </si>
  <si>
    <t>Ефект</t>
  </si>
  <si>
    <t>Зелена</t>
  </si>
  <si>
    <t>Булгур</t>
  </si>
  <si>
    <t xml:space="preserve">  Kcal</t>
  </si>
  <si>
    <t>* без дресинг</t>
  </si>
</sst>
</file>

<file path=xl/styles.xml><?xml version="1.0" encoding="utf-8"?>
<styleSheet xmlns="http://schemas.openxmlformats.org/spreadsheetml/2006/main">
  <numFmts count="3">
    <numFmt numFmtId="44" formatCode="_-* #,##0.00\ &quot;лв.&quot;_-;\-* #,##0.00\ &quot;лв.&quot;_-;_-* &quot;-&quot;??\ &quot;лв.&quot;_-;_-@_-"/>
    <numFmt numFmtId="43" formatCode="_-* #,##0.00\ _л_в_._-;\-* #,##0.00\ _л_в_._-;_-* &quot;-&quot;??\ _л_в_._-;_-@_-"/>
    <numFmt numFmtId="164" formatCode="_-* #,##0.00\ [$EUR]_-;\-* #,##0.00\ [$EUR]_-;_-* &quot;-&quot;??\ [$EUR]_-;_-@_-"/>
  </numFmts>
  <fonts count="2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44" fontId="0" fillId="0" borderId="1" xfId="0" applyNumberFormat="1" applyBorder="1"/>
    <xf numFmtId="43" fontId="0" fillId="0" borderId="1" xfId="0" applyNumberFormat="1" applyBorder="1"/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4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44" fontId="0" fillId="2" borderId="1" xfId="0" applyNumberFormat="1" applyFill="1" applyBorder="1"/>
    <xf numFmtId="0" fontId="1" fillId="0" borderId="1" xfId="0" applyFont="1" applyBorder="1" applyAlignment="1">
      <alignment horizontal="center" vertical="center" wrapText="1"/>
    </xf>
    <xf numFmtId="43" fontId="0" fillId="0" borderId="1" xfId="0" applyNumberFormat="1" applyBorder="1" applyAlignment="1">
      <alignment horizontal="center" vertical="center" wrapText="1"/>
    </xf>
    <xf numFmtId="44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  <xf numFmtId="43" fontId="0" fillId="3" borderId="1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 vertical="center" wrapText="1"/>
    </xf>
    <xf numFmtId="164" fontId="0" fillId="2" borderId="0" xfId="0" applyNumberFormat="1" applyFill="1" applyBorder="1"/>
    <xf numFmtId="164" fontId="0" fillId="0" borderId="0" xfId="0" applyNumberFormat="1" applyBorder="1"/>
    <xf numFmtId="164" fontId="0" fillId="0" borderId="0" xfId="0" applyNumberFormat="1" applyBorder="1" applyAlignment="1">
      <alignment vertical="center"/>
    </xf>
    <xf numFmtId="164" fontId="0" fillId="0" borderId="2" xfId="0" applyNumberFormat="1" applyBorder="1"/>
    <xf numFmtId="164" fontId="0" fillId="0" borderId="0" xfId="0" applyNumberFormat="1" applyBorder="1" applyAlignment="1">
      <alignment horizontal="center"/>
    </xf>
    <xf numFmtId="164" fontId="0" fillId="0" borderId="0" xfId="0" applyNumberFormat="1"/>
    <xf numFmtId="43" fontId="0" fillId="2" borderId="1" xfId="0" applyNumberFormat="1" applyFill="1" applyBorder="1" applyAlignment="1">
      <alignment horizontal="center"/>
    </xf>
    <xf numFmtId="43" fontId="0" fillId="0" borderId="1" xfId="0" applyNumberFormat="1" applyFill="1" applyBorder="1" applyAlignment="1">
      <alignment horizontal="center"/>
    </xf>
    <xf numFmtId="44" fontId="0" fillId="0" borderId="1" xfId="0" applyNumberFormat="1" applyFill="1" applyBorder="1"/>
    <xf numFmtId="44" fontId="0" fillId="0" borderId="0" xfId="0" applyNumberFormat="1"/>
    <xf numFmtId="0" fontId="0" fillId="2" borderId="1" xfId="0" applyFill="1" applyBorder="1"/>
    <xf numFmtId="0" fontId="0" fillId="0" borderId="3" xfId="0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49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9"/>
  <sheetViews>
    <sheetView tabSelected="1" zoomScale="130" zoomScaleNormal="130" workbookViewId="0">
      <pane ySplit="1" topLeftCell="A2" activePane="bottomLeft" state="frozen"/>
      <selection pane="bottomLeft" activeCell="U3" sqref="U3"/>
    </sheetView>
  </sheetViews>
  <sheetFormatPr defaultRowHeight="14.5"/>
  <cols>
    <col min="1" max="1" width="20.08984375" bestFit="1" customWidth="1"/>
    <col min="2" max="2" width="8.7265625" customWidth="1"/>
    <col min="3" max="3" width="8.36328125" hidden="1" customWidth="1"/>
    <col min="4" max="4" width="10" hidden="1" customWidth="1"/>
    <col min="5" max="5" width="10.81640625" hidden="1" customWidth="1"/>
    <col min="6" max="14" width="8.7265625" hidden="1" customWidth="1"/>
  </cols>
  <sheetData>
    <row r="1" spans="1:18" ht="46.5" customHeight="1">
      <c r="A1" s="2" t="s">
        <v>39</v>
      </c>
      <c r="B1" s="3" t="s">
        <v>41</v>
      </c>
      <c r="C1" s="14" t="s">
        <v>40</v>
      </c>
      <c r="D1" s="3" t="s">
        <v>43</v>
      </c>
      <c r="E1" s="3" t="s">
        <v>70</v>
      </c>
      <c r="F1">
        <v>1000</v>
      </c>
      <c r="G1" s="32" t="s">
        <v>94</v>
      </c>
      <c r="H1" s="32" t="s">
        <v>95</v>
      </c>
      <c r="I1" s="32" t="s">
        <v>96</v>
      </c>
      <c r="J1" s="32" t="s">
        <v>97</v>
      </c>
      <c r="K1" s="46" t="s">
        <v>110</v>
      </c>
      <c r="L1" s="32" t="s">
        <v>98</v>
      </c>
      <c r="M1" s="32" t="s">
        <v>99</v>
      </c>
      <c r="N1" s="32" t="s">
        <v>100</v>
      </c>
      <c r="O1" s="17" t="s">
        <v>110</v>
      </c>
      <c r="P1" s="17" t="s">
        <v>98</v>
      </c>
      <c r="Q1" s="17" t="s">
        <v>99</v>
      </c>
      <c r="R1" s="17" t="s">
        <v>100</v>
      </c>
    </row>
    <row r="2" spans="1:18">
      <c r="A2" s="1" t="s">
        <v>0</v>
      </c>
      <c r="B2" s="1">
        <v>80</v>
      </c>
      <c r="C2" s="1">
        <v>2</v>
      </c>
      <c r="D2" s="10">
        <v>15.78</v>
      </c>
      <c r="E2" s="13">
        <f>(16.6/1000)*80</f>
        <v>1.3280000000000001</v>
      </c>
      <c r="G2" s="9">
        <v>165</v>
      </c>
      <c r="H2" s="9">
        <v>0</v>
      </c>
      <c r="I2" s="9">
        <v>31</v>
      </c>
      <c r="J2" s="9">
        <v>4</v>
      </c>
      <c r="K2" s="33">
        <v>78</v>
      </c>
      <c r="L2" s="9">
        <f>+H2/100*B2</f>
        <v>0</v>
      </c>
      <c r="M2" s="9">
        <f>+I2/100*B2</f>
        <v>24.8</v>
      </c>
      <c r="N2" s="9">
        <f>+J2/100*B2</f>
        <v>3.2</v>
      </c>
      <c r="O2" s="9">
        <v>78</v>
      </c>
      <c r="P2" s="9">
        <v>1</v>
      </c>
      <c r="Q2" s="9">
        <v>16</v>
      </c>
      <c r="R2" s="9">
        <v>1</v>
      </c>
    </row>
    <row r="3" spans="1:18">
      <c r="A3" s="1" t="s">
        <v>1</v>
      </c>
      <c r="B3" s="1">
        <v>70</v>
      </c>
      <c r="C3" s="1">
        <v>2</v>
      </c>
      <c r="D3" s="10">
        <v>14.6</v>
      </c>
      <c r="E3" s="13">
        <f>14.6/1000*70</f>
        <v>1.022</v>
      </c>
      <c r="G3" s="9">
        <v>253</v>
      </c>
      <c r="H3" s="9">
        <v>2</v>
      </c>
      <c r="I3" s="9">
        <v>10</v>
      </c>
      <c r="J3" s="9">
        <v>23</v>
      </c>
      <c r="K3" s="33">
        <f t="shared" ref="K3:K59" si="0">+G3/100*B3</f>
        <v>177.1</v>
      </c>
      <c r="L3" s="9">
        <f t="shared" ref="L3:L59" si="1">+H3/100*B3</f>
        <v>1.4000000000000001</v>
      </c>
      <c r="M3" s="9">
        <f t="shared" ref="M3:M59" si="2">+I3/100*B3</f>
        <v>7</v>
      </c>
      <c r="N3" s="9">
        <f t="shared" ref="N3:N59" si="3">+J3/100*B3</f>
        <v>16.100000000000001</v>
      </c>
      <c r="O3" s="9">
        <v>222</v>
      </c>
      <c r="P3" s="9">
        <v>1</v>
      </c>
      <c r="Q3" s="9">
        <v>9</v>
      </c>
      <c r="R3" s="9">
        <v>20</v>
      </c>
    </row>
    <row r="4" spans="1:18">
      <c r="A4" s="1" t="s">
        <v>2</v>
      </c>
      <c r="B4" s="1">
        <v>70</v>
      </c>
      <c r="C4" s="1">
        <v>2</v>
      </c>
      <c r="D4" s="10">
        <v>7.9</v>
      </c>
      <c r="E4" s="5">
        <f>+D4/1000*70</f>
        <v>0.55300000000000005</v>
      </c>
      <c r="G4" s="9">
        <v>93</v>
      </c>
      <c r="H4" s="9">
        <v>2</v>
      </c>
      <c r="I4" s="9">
        <v>15</v>
      </c>
      <c r="J4" s="9">
        <v>3</v>
      </c>
      <c r="K4" s="33">
        <f t="shared" si="0"/>
        <v>65.100000000000009</v>
      </c>
      <c r="L4" s="9">
        <f t="shared" si="1"/>
        <v>1.4000000000000001</v>
      </c>
      <c r="M4" s="9">
        <f t="shared" si="2"/>
        <v>10.5</v>
      </c>
      <c r="N4" s="9">
        <f t="shared" si="3"/>
        <v>2.1</v>
      </c>
      <c r="O4" s="9">
        <v>61</v>
      </c>
      <c r="P4" s="9">
        <v>2</v>
      </c>
      <c r="Q4" s="9">
        <v>8</v>
      </c>
      <c r="R4" s="9">
        <v>2</v>
      </c>
    </row>
    <row r="5" spans="1:18">
      <c r="A5" s="1" t="s">
        <v>3</v>
      </c>
      <c r="B5" s="1">
        <v>40</v>
      </c>
      <c r="C5" s="1">
        <v>2</v>
      </c>
      <c r="D5" s="10">
        <f>6.1*1.2*2</f>
        <v>14.639999999999999</v>
      </c>
      <c r="E5" s="5">
        <f>14.4/1000*40</f>
        <v>0.57599999999999996</v>
      </c>
      <c r="G5" s="9"/>
      <c r="H5" s="9"/>
      <c r="I5" s="9"/>
      <c r="J5" s="9"/>
      <c r="K5" s="33">
        <f t="shared" si="0"/>
        <v>0</v>
      </c>
      <c r="L5" s="9">
        <f t="shared" si="1"/>
        <v>0</v>
      </c>
      <c r="M5" s="9">
        <f t="shared" si="2"/>
        <v>0</v>
      </c>
      <c r="N5" s="9">
        <f t="shared" si="3"/>
        <v>0</v>
      </c>
      <c r="O5" s="9">
        <f>261*0.4</f>
        <v>104.4</v>
      </c>
      <c r="P5" s="9">
        <f>29*0.4</f>
        <v>11.600000000000001</v>
      </c>
      <c r="Q5" s="9">
        <f>2.5*0.4</f>
        <v>1</v>
      </c>
      <c r="R5" s="9">
        <f>15*0.4</f>
        <v>6</v>
      </c>
    </row>
    <row r="6" spans="1:18">
      <c r="A6" s="1" t="s">
        <v>4</v>
      </c>
      <c r="B6" s="1">
        <v>70</v>
      </c>
      <c r="C6" s="1">
        <v>2</v>
      </c>
      <c r="D6" s="10">
        <f>9*1.2</f>
        <v>10.799999999999999</v>
      </c>
      <c r="E6" s="5">
        <f>+D6/F1*B7</f>
        <v>0.80999999999999994</v>
      </c>
      <c r="G6" s="9">
        <v>296</v>
      </c>
      <c r="H6" s="9">
        <v>1</v>
      </c>
      <c r="I6" s="9">
        <v>17</v>
      </c>
      <c r="J6" s="9">
        <v>25</v>
      </c>
      <c r="K6" s="33">
        <f t="shared" si="0"/>
        <v>207.2</v>
      </c>
      <c r="L6" s="9">
        <f t="shared" si="1"/>
        <v>0.70000000000000007</v>
      </c>
      <c r="M6" s="9">
        <f t="shared" si="2"/>
        <v>11.9</v>
      </c>
      <c r="N6" s="9">
        <f t="shared" si="3"/>
        <v>17.5</v>
      </c>
      <c r="O6" s="9">
        <v>207</v>
      </c>
      <c r="P6" s="9">
        <v>1</v>
      </c>
      <c r="Q6" s="9">
        <v>12</v>
      </c>
      <c r="R6" s="9">
        <v>17</v>
      </c>
    </row>
    <row r="7" spans="1:18">
      <c r="A7" s="1" t="s">
        <v>5</v>
      </c>
      <c r="B7" s="1">
        <v>75</v>
      </c>
      <c r="C7" s="1">
        <v>2</v>
      </c>
      <c r="D7" s="10">
        <v>13.8</v>
      </c>
      <c r="E7" s="13">
        <f>+D7/F1*B7</f>
        <v>1.0350000000000001</v>
      </c>
      <c r="G7" s="9">
        <v>365</v>
      </c>
      <c r="H7" s="9">
        <v>0</v>
      </c>
      <c r="I7" s="9">
        <v>24</v>
      </c>
      <c r="J7" s="9">
        <v>30</v>
      </c>
      <c r="K7" s="33">
        <f t="shared" si="0"/>
        <v>273.75</v>
      </c>
      <c r="L7" s="9">
        <f t="shared" si="1"/>
        <v>0</v>
      </c>
      <c r="M7" s="9">
        <f t="shared" si="2"/>
        <v>18</v>
      </c>
      <c r="N7" s="9">
        <f t="shared" si="3"/>
        <v>22.5</v>
      </c>
      <c r="O7" s="9">
        <v>274</v>
      </c>
      <c r="P7" s="9">
        <v>0</v>
      </c>
      <c r="Q7" s="9">
        <v>18</v>
      </c>
      <c r="R7" s="9">
        <v>23</v>
      </c>
    </row>
    <row r="8" spans="1:18">
      <c r="A8" s="1" t="s">
        <v>6</v>
      </c>
      <c r="B8" s="1">
        <v>80</v>
      </c>
      <c r="C8" s="1">
        <v>2</v>
      </c>
      <c r="D8" s="10">
        <v>17.03</v>
      </c>
      <c r="E8" s="13">
        <f>+D8/F1*B8</f>
        <v>1.3624000000000001</v>
      </c>
      <c r="G8" s="9">
        <v>300</v>
      </c>
      <c r="H8" s="9">
        <v>2</v>
      </c>
      <c r="I8" s="9">
        <v>22</v>
      </c>
      <c r="J8" s="9">
        <v>22</v>
      </c>
      <c r="K8" s="33">
        <f t="shared" si="0"/>
        <v>240</v>
      </c>
      <c r="L8" s="9">
        <f t="shared" si="1"/>
        <v>1.6</v>
      </c>
      <c r="M8" s="9">
        <f t="shared" si="2"/>
        <v>17.600000000000001</v>
      </c>
      <c r="N8" s="9">
        <f t="shared" si="3"/>
        <v>17.600000000000001</v>
      </c>
      <c r="O8" s="9">
        <v>240</v>
      </c>
      <c r="P8" s="9">
        <v>2</v>
      </c>
      <c r="Q8" s="9">
        <v>18</v>
      </c>
      <c r="R8" s="9">
        <v>18</v>
      </c>
    </row>
    <row r="9" spans="1:18">
      <c r="A9" s="1" t="s">
        <v>7</v>
      </c>
      <c r="B9" s="1">
        <v>60</v>
      </c>
      <c r="C9" s="1">
        <v>4</v>
      </c>
      <c r="D9" s="10">
        <v>20.2</v>
      </c>
      <c r="E9" s="13">
        <f>+D9/F1*B9</f>
        <v>1.212</v>
      </c>
      <c r="G9" s="9">
        <v>86</v>
      </c>
      <c r="H9" s="9">
        <v>0</v>
      </c>
      <c r="I9" s="9">
        <v>19</v>
      </c>
      <c r="J9" s="9">
        <v>1</v>
      </c>
      <c r="K9" s="33">
        <f t="shared" si="0"/>
        <v>51.6</v>
      </c>
      <c r="L9" s="9">
        <f t="shared" si="1"/>
        <v>0</v>
      </c>
      <c r="M9" s="9">
        <f t="shared" si="2"/>
        <v>11.4</v>
      </c>
      <c r="N9" s="9">
        <f t="shared" si="3"/>
        <v>0.6</v>
      </c>
      <c r="O9" s="9">
        <v>52</v>
      </c>
      <c r="P9" s="9">
        <v>0</v>
      </c>
      <c r="Q9" s="9">
        <v>12</v>
      </c>
      <c r="R9" s="9">
        <v>1</v>
      </c>
    </row>
    <row r="10" spans="1:18">
      <c r="A10" s="1" t="s">
        <v>8</v>
      </c>
      <c r="B10" s="1">
        <v>25</v>
      </c>
      <c r="C10" s="1">
        <v>1</v>
      </c>
      <c r="D10" s="10">
        <v>3</v>
      </c>
      <c r="E10" s="6">
        <v>0.5</v>
      </c>
      <c r="G10" s="9">
        <v>160</v>
      </c>
      <c r="H10" s="9">
        <v>9</v>
      </c>
      <c r="I10" s="9">
        <v>2</v>
      </c>
      <c r="J10" s="9">
        <v>15</v>
      </c>
      <c r="K10" s="33">
        <f t="shared" si="0"/>
        <v>40</v>
      </c>
      <c r="L10" s="9">
        <f t="shared" si="1"/>
        <v>2.25</v>
      </c>
      <c r="M10" s="9">
        <f t="shared" si="2"/>
        <v>0.5</v>
      </c>
      <c r="N10" s="9">
        <f t="shared" si="3"/>
        <v>3.75</v>
      </c>
      <c r="O10" s="9">
        <v>40</v>
      </c>
      <c r="P10" s="9">
        <v>2</v>
      </c>
      <c r="Q10" s="9">
        <v>1</v>
      </c>
      <c r="R10" s="9">
        <v>4</v>
      </c>
    </row>
    <row r="11" spans="1:18">
      <c r="A11" s="1" t="s">
        <v>9</v>
      </c>
      <c r="B11" s="1">
        <v>130</v>
      </c>
      <c r="C11" s="1">
        <v>5</v>
      </c>
      <c r="D11" s="10">
        <f>1.6*4</f>
        <v>6.4</v>
      </c>
      <c r="E11" s="5">
        <f>+D11/1000*B11</f>
        <v>0.83200000000000007</v>
      </c>
      <c r="G11" s="9">
        <v>15</v>
      </c>
      <c r="H11" s="9">
        <v>3</v>
      </c>
      <c r="I11" s="9">
        <v>1</v>
      </c>
      <c r="J11" s="9">
        <v>0</v>
      </c>
      <c r="K11" s="33">
        <f t="shared" si="0"/>
        <v>19.5</v>
      </c>
      <c r="L11" s="9">
        <f t="shared" si="1"/>
        <v>3.9</v>
      </c>
      <c r="M11" s="9">
        <f t="shared" si="2"/>
        <v>1.3</v>
      </c>
      <c r="N11" s="9">
        <f t="shared" si="3"/>
        <v>0</v>
      </c>
      <c r="O11" s="9">
        <v>18</v>
      </c>
      <c r="P11" s="9">
        <v>4</v>
      </c>
      <c r="Q11" s="9">
        <v>1</v>
      </c>
      <c r="R11" s="9">
        <v>0</v>
      </c>
    </row>
    <row r="12" spans="1:18">
      <c r="A12" s="1" t="s">
        <v>10</v>
      </c>
      <c r="B12" s="1">
        <v>110</v>
      </c>
      <c r="C12" s="1">
        <v>2</v>
      </c>
      <c r="D12" s="10">
        <v>5.8</v>
      </c>
      <c r="E12" s="5">
        <f>+D12/F1*B12</f>
        <v>0.6379999999999999</v>
      </c>
      <c r="G12" s="9">
        <v>15</v>
      </c>
      <c r="H12" s="9">
        <v>4</v>
      </c>
      <c r="I12" s="9">
        <v>1</v>
      </c>
      <c r="J12" s="9">
        <v>0</v>
      </c>
      <c r="K12" s="33">
        <f t="shared" si="0"/>
        <v>16.5</v>
      </c>
      <c r="L12" s="9">
        <f t="shared" si="1"/>
        <v>4.4000000000000004</v>
      </c>
      <c r="M12" s="9">
        <f t="shared" si="2"/>
        <v>1.1000000000000001</v>
      </c>
      <c r="N12" s="9">
        <f t="shared" si="3"/>
        <v>0</v>
      </c>
      <c r="O12" s="9">
        <v>17</v>
      </c>
      <c r="P12" s="9">
        <v>4</v>
      </c>
      <c r="Q12" s="9">
        <v>1</v>
      </c>
      <c r="R12" s="9">
        <v>0</v>
      </c>
    </row>
    <row r="13" spans="1:18">
      <c r="A13" s="1" t="s">
        <v>11</v>
      </c>
      <c r="B13" s="1">
        <v>100</v>
      </c>
      <c r="C13" s="1">
        <v>2</v>
      </c>
      <c r="D13" s="10">
        <v>3.8</v>
      </c>
      <c r="E13" s="5">
        <f>+D13/F1*B13</f>
        <v>0.38</v>
      </c>
      <c r="G13" s="9">
        <v>18</v>
      </c>
      <c r="H13" s="9">
        <v>4</v>
      </c>
      <c r="I13" s="9">
        <v>1</v>
      </c>
      <c r="J13" s="9">
        <v>0</v>
      </c>
      <c r="K13" s="33">
        <f t="shared" si="0"/>
        <v>18</v>
      </c>
      <c r="L13" s="9">
        <f t="shared" si="1"/>
        <v>4</v>
      </c>
      <c r="M13" s="9">
        <f t="shared" si="2"/>
        <v>1</v>
      </c>
      <c r="N13" s="9">
        <f t="shared" si="3"/>
        <v>0</v>
      </c>
      <c r="O13" s="9">
        <v>16</v>
      </c>
      <c r="P13" s="9">
        <v>4</v>
      </c>
      <c r="Q13" s="9">
        <v>1</v>
      </c>
      <c r="R13" s="9">
        <v>0</v>
      </c>
    </row>
    <row r="14" spans="1:18">
      <c r="A14" s="1" t="s">
        <v>12</v>
      </c>
      <c r="B14" s="1">
        <v>80</v>
      </c>
      <c r="C14" s="1">
        <v>3</v>
      </c>
      <c r="D14" s="10">
        <v>6</v>
      </c>
      <c r="E14" s="5">
        <f>+D14/F1*B14</f>
        <v>0.48</v>
      </c>
      <c r="G14" s="9">
        <v>22</v>
      </c>
      <c r="H14" s="9">
        <v>4</v>
      </c>
      <c r="I14" s="9">
        <v>2</v>
      </c>
      <c r="J14" s="9">
        <v>0</v>
      </c>
      <c r="K14" s="33">
        <f t="shared" si="0"/>
        <v>17.600000000000001</v>
      </c>
      <c r="L14" s="9">
        <f t="shared" si="1"/>
        <v>3.2</v>
      </c>
      <c r="M14" s="9">
        <f t="shared" si="2"/>
        <v>1.6</v>
      </c>
      <c r="N14" s="9">
        <f t="shared" si="3"/>
        <v>0</v>
      </c>
      <c r="O14" s="9">
        <v>18</v>
      </c>
      <c r="P14" s="9">
        <v>3</v>
      </c>
      <c r="Q14" s="9">
        <v>2</v>
      </c>
      <c r="R14" s="9">
        <v>0</v>
      </c>
    </row>
    <row r="15" spans="1:18">
      <c r="A15" s="1" t="s">
        <v>13</v>
      </c>
      <c r="B15" s="1">
        <v>150</v>
      </c>
      <c r="C15" s="1">
        <v>5</v>
      </c>
      <c r="D15" s="10">
        <v>1.9</v>
      </c>
      <c r="E15" s="5">
        <f>+D15/F1*B15</f>
        <v>0.28499999999999998</v>
      </c>
      <c r="G15" s="9">
        <v>25</v>
      </c>
      <c r="H15" s="9">
        <v>6</v>
      </c>
      <c r="I15" s="9">
        <v>1</v>
      </c>
      <c r="J15" s="9">
        <v>0</v>
      </c>
      <c r="K15" s="33">
        <f t="shared" si="0"/>
        <v>37.5</v>
      </c>
      <c r="L15" s="9">
        <f t="shared" si="1"/>
        <v>9</v>
      </c>
      <c r="M15" s="9">
        <f t="shared" si="2"/>
        <v>1.5</v>
      </c>
      <c r="N15" s="9">
        <f t="shared" si="3"/>
        <v>0</v>
      </c>
      <c r="O15" s="9">
        <v>38</v>
      </c>
      <c r="P15" s="9">
        <v>9</v>
      </c>
      <c r="Q15" s="9">
        <v>2</v>
      </c>
      <c r="R15" s="9">
        <v>0</v>
      </c>
    </row>
    <row r="16" spans="1:18">
      <c r="A16" s="1" t="s">
        <v>14</v>
      </c>
      <c r="B16" s="1">
        <v>130</v>
      </c>
      <c r="C16" s="1">
        <v>2</v>
      </c>
      <c r="D16" s="10">
        <v>1.7</v>
      </c>
      <c r="E16" s="5">
        <f>+D16/F1*B16</f>
        <v>0.22099999999999997</v>
      </c>
      <c r="G16" s="9">
        <v>35</v>
      </c>
      <c r="H16" s="9">
        <v>8</v>
      </c>
      <c r="I16" s="9">
        <v>1</v>
      </c>
      <c r="J16" s="9">
        <v>0</v>
      </c>
      <c r="K16" s="33">
        <f t="shared" si="0"/>
        <v>45.5</v>
      </c>
      <c r="L16" s="9">
        <f t="shared" si="1"/>
        <v>10.4</v>
      </c>
      <c r="M16" s="9">
        <f t="shared" si="2"/>
        <v>1.3</v>
      </c>
      <c r="N16" s="9">
        <f t="shared" si="3"/>
        <v>0</v>
      </c>
      <c r="O16" s="9">
        <v>53</v>
      </c>
      <c r="P16" s="9">
        <v>12</v>
      </c>
      <c r="Q16" s="9">
        <v>1</v>
      </c>
      <c r="R16" s="9">
        <v>0</v>
      </c>
    </row>
    <row r="17" spans="1:18">
      <c r="A17" s="1" t="s">
        <v>101</v>
      </c>
      <c r="B17" s="1">
        <v>75</v>
      </c>
      <c r="C17" s="1">
        <v>2</v>
      </c>
      <c r="D17" s="10">
        <v>3.6</v>
      </c>
      <c r="E17" s="5">
        <f>+D17/F1*B17</f>
        <v>0.27</v>
      </c>
      <c r="G17" s="9">
        <v>35</v>
      </c>
      <c r="H17" s="9">
        <v>6</v>
      </c>
      <c r="I17" s="9">
        <v>1</v>
      </c>
      <c r="J17" s="9">
        <v>1</v>
      </c>
      <c r="K17" s="33">
        <f t="shared" si="0"/>
        <v>26.25</v>
      </c>
      <c r="L17" s="9">
        <f t="shared" si="1"/>
        <v>4.5</v>
      </c>
      <c r="M17" s="9">
        <f t="shared" si="2"/>
        <v>0.75</v>
      </c>
      <c r="N17" s="9">
        <f t="shared" si="3"/>
        <v>0.75</v>
      </c>
      <c r="O17" s="47">
        <v>26</v>
      </c>
      <c r="P17" s="9">
        <v>5</v>
      </c>
      <c r="Q17" s="9">
        <v>1</v>
      </c>
      <c r="R17" s="9">
        <v>1</v>
      </c>
    </row>
    <row r="18" spans="1:18">
      <c r="A18" s="1" t="s">
        <v>102</v>
      </c>
      <c r="B18" s="1">
        <v>80</v>
      </c>
      <c r="C18" s="1"/>
      <c r="D18" s="10"/>
      <c r="E18" s="5"/>
      <c r="G18" s="9">
        <v>20</v>
      </c>
      <c r="H18" s="9">
        <v>5</v>
      </c>
      <c r="I18" s="9">
        <v>1</v>
      </c>
      <c r="J18" s="9">
        <v>0</v>
      </c>
      <c r="K18" s="33">
        <f t="shared" si="0"/>
        <v>16</v>
      </c>
      <c r="L18" s="9">
        <f t="shared" si="1"/>
        <v>4</v>
      </c>
      <c r="M18" s="9">
        <f t="shared" si="2"/>
        <v>0.8</v>
      </c>
      <c r="N18" s="9">
        <f t="shared" si="3"/>
        <v>0</v>
      </c>
      <c r="O18" s="9">
        <v>19</v>
      </c>
      <c r="P18" s="9">
        <v>4</v>
      </c>
      <c r="Q18" s="9">
        <v>1</v>
      </c>
      <c r="R18" s="9">
        <v>0</v>
      </c>
    </row>
    <row r="19" spans="1:18">
      <c r="A19" s="1" t="s">
        <v>16</v>
      </c>
      <c r="B19" s="1">
        <v>25</v>
      </c>
      <c r="C19" s="1">
        <v>4</v>
      </c>
      <c r="D19" s="10">
        <f>13*0.6</f>
        <v>7.8</v>
      </c>
      <c r="E19" s="5">
        <f>+D19/F1*B19</f>
        <v>0.19499999999999998</v>
      </c>
      <c r="G19" s="9">
        <v>32</v>
      </c>
      <c r="H19" s="9">
        <v>7</v>
      </c>
      <c r="I19" s="9">
        <v>2</v>
      </c>
      <c r="J19" s="9">
        <v>0</v>
      </c>
      <c r="K19" s="33">
        <f t="shared" si="0"/>
        <v>8</v>
      </c>
      <c r="L19" s="9">
        <f t="shared" si="1"/>
        <v>1.7500000000000002</v>
      </c>
      <c r="M19" s="9">
        <f t="shared" si="2"/>
        <v>0.5</v>
      </c>
      <c r="N19" s="9">
        <f t="shared" si="3"/>
        <v>0</v>
      </c>
      <c r="O19" s="9">
        <v>10</v>
      </c>
      <c r="P19" s="9">
        <v>2</v>
      </c>
      <c r="Q19" s="9">
        <v>0.5</v>
      </c>
      <c r="R19" s="9">
        <v>0</v>
      </c>
    </row>
    <row r="20" spans="1:18">
      <c r="A20" s="1" t="s">
        <v>17</v>
      </c>
      <c r="B20" s="1">
        <v>120</v>
      </c>
      <c r="C20" s="1">
        <v>2</v>
      </c>
      <c r="D20" s="10">
        <v>1.6</v>
      </c>
      <c r="E20" s="5">
        <f>+D20/F1*B20</f>
        <v>0.192</v>
      </c>
      <c r="G20" s="9">
        <v>43</v>
      </c>
      <c r="H20" s="9">
        <v>10</v>
      </c>
      <c r="I20" s="9">
        <v>2</v>
      </c>
      <c r="J20" s="9">
        <v>0</v>
      </c>
      <c r="K20" s="33">
        <f t="shared" si="0"/>
        <v>51.6</v>
      </c>
      <c r="L20" s="9">
        <f t="shared" si="1"/>
        <v>12</v>
      </c>
      <c r="M20" s="9">
        <f t="shared" si="2"/>
        <v>2.4</v>
      </c>
      <c r="N20" s="9">
        <f t="shared" si="3"/>
        <v>0</v>
      </c>
      <c r="O20" s="9">
        <v>52</v>
      </c>
      <c r="P20" s="9">
        <v>11</v>
      </c>
      <c r="Q20" s="9">
        <v>2</v>
      </c>
      <c r="R20" s="9">
        <v>0</v>
      </c>
    </row>
    <row r="21" spans="1:18">
      <c r="A21" s="8" t="s">
        <v>18</v>
      </c>
      <c r="B21" s="1">
        <v>65</v>
      </c>
      <c r="C21" s="1">
        <v>2</v>
      </c>
      <c r="D21" s="10">
        <f>1.35/240*1000</f>
        <v>5.6250000000000009</v>
      </c>
      <c r="E21" s="5">
        <f>+D21/F1*B21</f>
        <v>0.36562500000000003</v>
      </c>
      <c r="G21" s="9">
        <v>378</v>
      </c>
      <c r="H21" s="9">
        <v>63</v>
      </c>
      <c r="I21" s="9">
        <v>20</v>
      </c>
      <c r="J21" s="9">
        <v>6</v>
      </c>
      <c r="K21" s="33">
        <f t="shared" si="0"/>
        <v>245.7</v>
      </c>
      <c r="L21" s="9">
        <f t="shared" si="1"/>
        <v>40.950000000000003</v>
      </c>
      <c r="M21" s="9">
        <f t="shared" si="2"/>
        <v>13</v>
      </c>
      <c r="N21" s="9">
        <f t="shared" si="3"/>
        <v>3.9</v>
      </c>
      <c r="O21" s="9">
        <v>76</v>
      </c>
      <c r="P21" s="9">
        <v>19</v>
      </c>
      <c r="Q21" s="9">
        <v>4</v>
      </c>
      <c r="R21" s="9">
        <v>2</v>
      </c>
    </row>
    <row r="22" spans="1:18">
      <c r="A22" s="1" t="s">
        <v>19</v>
      </c>
      <c r="B22" s="1">
        <v>60</v>
      </c>
      <c r="C22" s="1">
        <v>2</v>
      </c>
      <c r="D22" s="10">
        <v>3.2</v>
      </c>
      <c r="E22" s="5">
        <f>3.2/1000*60</f>
        <v>0.192</v>
      </c>
      <c r="G22" s="9">
        <v>336</v>
      </c>
      <c r="H22" s="9">
        <v>73</v>
      </c>
      <c r="I22" s="9">
        <v>8</v>
      </c>
      <c r="J22" s="9">
        <v>2</v>
      </c>
      <c r="K22" s="33">
        <f t="shared" si="0"/>
        <v>201.6</v>
      </c>
      <c r="L22" s="9">
        <f t="shared" si="1"/>
        <v>43.8</v>
      </c>
      <c r="M22" s="9">
        <f t="shared" si="2"/>
        <v>4.8</v>
      </c>
      <c r="N22" s="9">
        <f t="shared" si="3"/>
        <v>1.2</v>
      </c>
      <c r="O22" s="9">
        <v>52</v>
      </c>
      <c r="P22" s="9">
        <v>12</v>
      </c>
      <c r="Q22" s="9">
        <v>2</v>
      </c>
      <c r="R22" s="9">
        <v>0.2</v>
      </c>
    </row>
    <row r="23" spans="1:18">
      <c r="A23" s="1" t="s">
        <v>20</v>
      </c>
      <c r="B23" s="1">
        <v>110</v>
      </c>
      <c r="C23" s="1">
        <v>2</v>
      </c>
      <c r="D23" s="10">
        <v>8</v>
      </c>
      <c r="E23" s="5">
        <f t="shared" ref="E23:E28" si="4">+D23/1000*B23</f>
        <v>0.88</v>
      </c>
      <c r="G23" s="9">
        <v>35</v>
      </c>
      <c r="H23" s="9">
        <v>8</v>
      </c>
      <c r="I23" s="9">
        <v>2</v>
      </c>
      <c r="J23" s="9">
        <v>0</v>
      </c>
      <c r="K23" s="33">
        <f t="shared" si="0"/>
        <v>38.5</v>
      </c>
      <c r="L23" s="9">
        <f t="shared" si="1"/>
        <v>8.8000000000000007</v>
      </c>
      <c r="M23" s="9">
        <f t="shared" si="2"/>
        <v>2.2000000000000002</v>
      </c>
      <c r="N23" s="9">
        <f t="shared" si="3"/>
        <v>0</v>
      </c>
      <c r="O23" s="9">
        <v>36</v>
      </c>
      <c r="P23" s="9">
        <v>4</v>
      </c>
      <c r="Q23" s="9">
        <v>2</v>
      </c>
      <c r="R23" s="9">
        <v>0.3</v>
      </c>
    </row>
    <row r="24" spans="1:18">
      <c r="A24" s="8" t="s">
        <v>21</v>
      </c>
      <c r="B24" s="1">
        <v>60</v>
      </c>
      <c r="C24" s="1">
        <v>2</v>
      </c>
      <c r="D24" s="10">
        <f>3/230*1000</f>
        <v>13.043478260869565</v>
      </c>
      <c r="E24" s="5">
        <f t="shared" si="4"/>
        <v>0.78260869565217384</v>
      </c>
      <c r="G24" s="9">
        <v>22</v>
      </c>
      <c r="H24" s="9">
        <v>3</v>
      </c>
      <c r="I24" s="9">
        <v>3</v>
      </c>
      <c r="J24" s="9">
        <v>0</v>
      </c>
      <c r="K24" s="33">
        <f t="shared" si="0"/>
        <v>13.2</v>
      </c>
      <c r="L24" s="9">
        <f t="shared" si="1"/>
        <v>1.7999999999999998</v>
      </c>
      <c r="M24" s="9">
        <f t="shared" si="2"/>
        <v>1.7999999999999998</v>
      </c>
      <c r="N24" s="9">
        <f t="shared" si="3"/>
        <v>0</v>
      </c>
      <c r="O24" s="9">
        <v>13</v>
      </c>
      <c r="P24" s="9">
        <v>1</v>
      </c>
      <c r="Q24" s="9">
        <v>1</v>
      </c>
      <c r="R24" s="9">
        <v>0.3</v>
      </c>
    </row>
    <row r="25" spans="1:18">
      <c r="A25" s="1" t="s">
        <v>22</v>
      </c>
      <c r="B25" s="1">
        <v>65</v>
      </c>
      <c r="C25" s="1">
        <v>2</v>
      </c>
      <c r="D25" s="10">
        <v>10.5</v>
      </c>
      <c r="E25" s="5">
        <f t="shared" si="4"/>
        <v>0.6825</v>
      </c>
      <c r="G25" s="9">
        <v>355</v>
      </c>
      <c r="H25" s="9">
        <v>62</v>
      </c>
      <c r="I25" s="9">
        <v>12</v>
      </c>
      <c r="J25" s="9">
        <v>6</v>
      </c>
      <c r="K25" s="33">
        <f t="shared" si="0"/>
        <v>230.75</v>
      </c>
      <c r="L25" s="9">
        <f t="shared" si="1"/>
        <v>40.299999999999997</v>
      </c>
      <c r="M25" s="9">
        <f t="shared" si="2"/>
        <v>7.8</v>
      </c>
      <c r="N25" s="9">
        <f t="shared" si="3"/>
        <v>3.9</v>
      </c>
      <c r="O25" s="9">
        <v>80</v>
      </c>
      <c r="P25" s="9">
        <v>14</v>
      </c>
      <c r="Q25" s="9">
        <v>3</v>
      </c>
      <c r="R25" s="9">
        <v>1</v>
      </c>
    </row>
    <row r="26" spans="1:18">
      <c r="A26" s="1" t="s">
        <v>23</v>
      </c>
      <c r="B26" s="1">
        <v>65</v>
      </c>
      <c r="C26" s="1">
        <v>2</v>
      </c>
      <c r="D26" s="10">
        <f>1.38*1.2/250*1000</f>
        <v>6.6239999999999997</v>
      </c>
      <c r="E26" s="5">
        <f t="shared" si="4"/>
        <v>0.43056</v>
      </c>
      <c r="G26" s="9">
        <v>64</v>
      </c>
      <c r="H26" s="9">
        <v>15</v>
      </c>
      <c r="I26" s="9">
        <v>2</v>
      </c>
      <c r="J26" s="9">
        <v>1</v>
      </c>
      <c r="K26" s="33">
        <f t="shared" si="0"/>
        <v>41.6</v>
      </c>
      <c r="L26" s="9">
        <f t="shared" si="1"/>
        <v>9.75</v>
      </c>
      <c r="M26" s="9">
        <f t="shared" si="2"/>
        <v>1.3</v>
      </c>
      <c r="N26" s="9">
        <f t="shared" si="3"/>
        <v>0.65</v>
      </c>
      <c r="O26" s="9">
        <v>42</v>
      </c>
      <c r="P26" s="9">
        <v>10</v>
      </c>
      <c r="Q26" s="9">
        <v>1</v>
      </c>
      <c r="R26" s="9">
        <v>0</v>
      </c>
    </row>
    <row r="27" spans="1:18">
      <c r="A27" s="1" t="s">
        <v>25</v>
      </c>
      <c r="B27" s="1">
        <v>65</v>
      </c>
      <c r="C27" s="1">
        <v>2</v>
      </c>
      <c r="D27" s="10">
        <f>5.42*1.2</f>
        <v>6.5039999999999996</v>
      </c>
      <c r="E27" s="5">
        <f t="shared" si="4"/>
        <v>0.42275999999999997</v>
      </c>
      <c r="G27" s="9">
        <v>85</v>
      </c>
      <c r="H27" s="9">
        <v>7</v>
      </c>
      <c r="I27" s="9">
        <v>1</v>
      </c>
      <c r="J27" s="9">
        <v>6</v>
      </c>
      <c r="K27" s="33">
        <f t="shared" si="0"/>
        <v>55.25</v>
      </c>
      <c r="L27" s="9">
        <f t="shared" si="1"/>
        <v>4.5500000000000007</v>
      </c>
      <c r="M27" s="9">
        <f t="shared" si="2"/>
        <v>0.65</v>
      </c>
      <c r="N27" s="9">
        <f t="shared" si="3"/>
        <v>3.9</v>
      </c>
      <c r="O27" s="9">
        <v>94</v>
      </c>
      <c r="P27" s="9">
        <v>2</v>
      </c>
      <c r="Q27" s="9">
        <v>0.5</v>
      </c>
      <c r="R27" s="9">
        <v>1</v>
      </c>
    </row>
    <row r="28" spans="1:18">
      <c r="A28" s="1" t="s">
        <v>38</v>
      </c>
      <c r="B28" s="1">
        <v>140</v>
      </c>
      <c r="C28" s="1">
        <v>4</v>
      </c>
      <c r="D28" s="10">
        <v>1</v>
      </c>
      <c r="E28" s="5">
        <f t="shared" si="4"/>
        <v>0.14000000000000001</v>
      </c>
      <c r="G28" s="9">
        <v>361</v>
      </c>
      <c r="H28" s="9">
        <v>75</v>
      </c>
      <c r="I28" s="9">
        <v>11</v>
      </c>
      <c r="J28" s="9">
        <v>1</v>
      </c>
      <c r="K28" s="33">
        <f t="shared" si="0"/>
        <v>505.4</v>
      </c>
      <c r="L28" s="9">
        <f t="shared" si="1"/>
        <v>105</v>
      </c>
      <c r="M28" s="9">
        <f t="shared" si="2"/>
        <v>15.4</v>
      </c>
      <c r="N28" s="9">
        <f t="shared" si="3"/>
        <v>1.4000000000000001</v>
      </c>
      <c r="O28" s="9">
        <v>200</v>
      </c>
      <c r="P28" s="9">
        <v>46</v>
      </c>
      <c r="Q28" s="9">
        <v>6</v>
      </c>
      <c r="R28" s="9">
        <v>1</v>
      </c>
    </row>
    <row r="29" spans="1:18">
      <c r="A29" s="1" t="s">
        <v>24</v>
      </c>
      <c r="B29" s="1">
        <v>50</v>
      </c>
      <c r="C29" s="1">
        <v>1</v>
      </c>
      <c r="D29" s="10">
        <v>0.35</v>
      </c>
      <c r="E29" s="5">
        <v>0.35</v>
      </c>
      <c r="G29" s="33">
        <v>78</v>
      </c>
      <c r="H29" s="33">
        <v>1</v>
      </c>
      <c r="I29" s="33">
        <v>6</v>
      </c>
      <c r="J29" s="33">
        <v>5</v>
      </c>
      <c r="K29" s="33">
        <f>+G29/50*B29</f>
        <v>78</v>
      </c>
      <c r="L29" s="9">
        <f t="shared" si="1"/>
        <v>0.5</v>
      </c>
      <c r="M29" s="9">
        <f t="shared" si="2"/>
        <v>3</v>
      </c>
      <c r="N29" s="9">
        <f t="shared" si="3"/>
        <v>2.5</v>
      </c>
      <c r="O29" s="9">
        <v>78</v>
      </c>
      <c r="P29" s="9">
        <v>1</v>
      </c>
      <c r="Q29" s="9">
        <v>6</v>
      </c>
      <c r="R29" s="9">
        <v>5</v>
      </c>
    </row>
    <row r="30" spans="1:18">
      <c r="A30" s="1" t="s">
        <v>26</v>
      </c>
      <c r="B30" s="1">
        <v>45</v>
      </c>
      <c r="C30" s="1">
        <v>2</v>
      </c>
      <c r="D30" s="10">
        <f>(1.8/1000)*770</f>
        <v>1.3859999999999999</v>
      </c>
      <c r="E30" s="5">
        <f>1.8/770*45</f>
        <v>0.10519480519480519</v>
      </c>
      <c r="F30" t="s">
        <v>64</v>
      </c>
      <c r="G30" s="9"/>
      <c r="H30" s="9"/>
      <c r="I30" s="9"/>
      <c r="J30" s="9"/>
      <c r="K30" s="33">
        <f t="shared" si="0"/>
        <v>0</v>
      </c>
      <c r="L30" s="9">
        <f t="shared" si="1"/>
        <v>0</v>
      </c>
      <c r="M30" s="9">
        <f t="shared" si="2"/>
        <v>0</v>
      </c>
      <c r="N30" s="9">
        <f t="shared" si="3"/>
        <v>0</v>
      </c>
      <c r="O30" s="9">
        <v>113</v>
      </c>
      <c r="P30" s="9">
        <v>21</v>
      </c>
      <c r="Q30" s="9">
        <v>3</v>
      </c>
      <c r="R30" s="9">
        <v>1</v>
      </c>
    </row>
    <row r="31" spans="1:18">
      <c r="A31" s="1" t="s">
        <v>27</v>
      </c>
      <c r="B31" s="1">
        <v>170</v>
      </c>
      <c r="C31" s="1"/>
      <c r="D31" s="10">
        <v>2.8</v>
      </c>
      <c r="E31" s="5">
        <f>2.8/6</f>
        <v>0.46666666666666662</v>
      </c>
      <c r="G31" s="9">
        <v>52</v>
      </c>
      <c r="H31" s="9">
        <v>14</v>
      </c>
      <c r="I31" s="9">
        <v>0</v>
      </c>
      <c r="J31" s="9">
        <v>0</v>
      </c>
      <c r="K31" s="33">
        <f t="shared" si="0"/>
        <v>88.4</v>
      </c>
      <c r="L31" s="9">
        <f t="shared" si="1"/>
        <v>23.8</v>
      </c>
      <c r="M31" s="9">
        <f t="shared" si="2"/>
        <v>0</v>
      </c>
      <c r="N31" s="9">
        <f t="shared" si="3"/>
        <v>0</v>
      </c>
      <c r="O31" s="9">
        <v>89</v>
      </c>
      <c r="P31" s="9">
        <v>23</v>
      </c>
      <c r="Q31" s="9">
        <v>0</v>
      </c>
      <c r="R31" s="9">
        <v>0</v>
      </c>
    </row>
    <row r="32" spans="1:18">
      <c r="A32" s="8" t="s">
        <v>28</v>
      </c>
      <c r="B32" s="1">
        <v>85</v>
      </c>
      <c r="C32" s="1">
        <v>2</v>
      </c>
      <c r="D32" s="10">
        <f>1.6/255*1000</f>
        <v>6.2745098039215694</v>
      </c>
      <c r="E32" s="5">
        <f>+D32/1000*B32</f>
        <v>0.53333333333333344</v>
      </c>
      <c r="G32" s="9">
        <v>345</v>
      </c>
      <c r="H32" s="9">
        <v>61</v>
      </c>
      <c r="I32" s="9">
        <v>23</v>
      </c>
      <c r="J32" s="9">
        <v>1</v>
      </c>
      <c r="K32" s="33">
        <f t="shared" si="0"/>
        <v>293.25</v>
      </c>
      <c r="L32" s="9">
        <f t="shared" si="1"/>
        <v>51.85</v>
      </c>
      <c r="M32" s="9">
        <f t="shared" si="2"/>
        <v>19.55</v>
      </c>
      <c r="N32" s="9">
        <f t="shared" si="3"/>
        <v>0.85</v>
      </c>
      <c r="O32" s="9">
        <v>99</v>
      </c>
      <c r="P32" s="9">
        <v>13</v>
      </c>
      <c r="Q32" s="9">
        <v>7</v>
      </c>
      <c r="R32" s="9">
        <v>1</v>
      </c>
    </row>
    <row r="33" spans="1:19">
      <c r="A33" s="1" t="s">
        <v>29</v>
      </c>
      <c r="B33" s="1">
        <v>20</v>
      </c>
      <c r="C33" s="1">
        <v>2</v>
      </c>
      <c r="D33" s="10"/>
      <c r="E33" s="5"/>
      <c r="G33" s="9"/>
      <c r="H33" s="9"/>
      <c r="I33" s="9"/>
      <c r="J33" s="9"/>
      <c r="K33" s="33">
        <f t="shared" si="0"/>
        <v>0</v>
      </c>
      <c r="L33" s="9">
        <f t="shared" si="1"/>
        <v>0</v>
      </c>
      <c r="M33" s="9">
        <f t="shared" si="2"/>
        <v>0</v>
      </c>
      <c r="N33" s="9">
        <f t="shared" si="3"/>
        <v>0</v>
      </c>
      <c r="O33" s="40" t="s">
        <v>134</v>
      </c>
      <c r="P33" s="39" t="s">
        <v>135</v>
      </c>
      <c r="Q33" s="39" t="s">
        <v>136</v>
      </c>
      <c r="R33" s="40" t="s">
        <v>137</v>
      </c>
    </row>
    <row r="34" spans="1:19" ht="17" customHeight="1">
      <c r="A34" s="2" t="s">
        <v>30</v>
      </c>
      <c r="B34" s="2">
        <v>20</v>
      </c>
      <c r="C34" s="2">
        <v>2</v>
      </c>
      <c r="D34" s="15" t="s">
        <v>59</v>
      </c>
      <c r="E34" s="16">
        <v>0.28000000000000003</v>
      </c>
      <c r="G34" s="9">
        <v>83</v>
      </c>
      <c r="H34" s="9">
        <v>19</v>
      </c>
      <c r="I34" s="9">
        <v>2</v>
      </c>
      <c r="J34" s="9">
        <v>1</v>
      </c>
      <c r="K34" s="33">
        <f t="shared" si="0"/>
        <v>16.599999999999998</v>
      </c>
      <c r="L34" s="9">
        <f t="shared" si="1"/>
        <v>3.8</v>
      </c>
      <c r="M34" s="9">
        <f t="shared" si="2"/>
        <v>0.4</v>
      </c>
      <c r="N34" s="9">
        <f t="shared" si="3"/>
        <v>0.2</v>
      </c>
      <c r="O34" s="9">
        <v>17</v>
      </c>
      <c r="P34" s="9">
        <v>4</v>
      </c>
      <c r="Q34" s="9">
        <v>0</v>
      </c>
      <c r="R34" s="9">
        <v>0</v>
      </c>
    </row>
    <row r="35" spans="1:19">
      <c r="A35" s="1" t="s">
        <v>65</v>
      </c>
      <c r="B35" s="1">
        <v>30</v>
      </c>
      <c r="C35" s="1" t="s">
        <v>52</v>
      </c>
      <c r="D35" s="10">
        <v>3.6</v>
      </c>
      <c r="E35" s="5" t="s">
        <v>52</v>
      </c>
      <c r="F35" s="34" t="s">
        <v>66</v>
      </c>
      <c r="G35" s="9">
        <v>17</v>
      </c>
      <c r="H35" s="9">
        <v>3</v>
      </c>
      <c r="I35" s="9">
        <v>1</v>
      </c>
      <c r="J35" s="9">
        <v>0</v>
      </c>
      <c r="K35" s="33">
        <f t="shared" si="0"/>
        <v>5.1000000000000005</v>
      </c>
      <c r="L35" s="9">
        <f t="shared" si="1"/>
        <v>0.89999999999999991</v>
      </c>
      <c r="M35" s="9">
        <f t="shared" si="2"/>
        <v>0.3</v>
      </c>
      <c r="N35" s="9">
        <f t="shared" si="3"/>
        <v>0</v>
      </c>
      <c r="O35" s="9">
        <v>5</v>
      </c>
      <c r="P35" s="9">
        <v>1</v>
      </c>
      <c r="Q35" s="9">
        <v>0.3</v>
      </c>
      <c r="R35" s="9">
        <v>0</v>
      </c>
    </row>
    <row r="36" spans="1:19">
      <c r="A36" s="1" t="s">
        <v>53</v>
      </c>
      <c r="B36" s="1">
        <v>500</v>
      </c>
      <c r="C36" s="1"/>
      <c r="D36" s="10">
        <v>2.5</v>
      </c>
      <c r="E36" s="5"/>
      <c r="G36" s="9">
        <v>47</v>
      </c>
      <c r="H36" s="9">
        <v>12</v>
      </c>
      <c r="I36" s="9">
        <v>1</v>
      </c>
      <c r="J36" s="9">
        <v>0</v>
      </c>
      <c r="K36" s="33">
        <f t="shared" si="0"/>
        <v>235</v>
      </c>
      <c r="L36" s="9">
        <f t="shared" si="1"/>
        <v>60</v>
      </c>
      <c r="M36" s="9">
        <f t="shared" si="2"/>
        <v>5</v>
      </c>
      <c r="N36" s="9">
        <f t="shared" si="3"/>
        <v>0</v>
      </c>
      <c r="O36" s="9">
        <v>235</v>
      </c>
      <c r="P36" s="9">
        <v>60</v>
      </c>
      <c r="Q36" s="9">
        <v>5</v>
      </c>
      <c r="R36" s="9">
        <v>0</v>
      </c>
    </row>
    <row r="37" spans="1:19">
      <c r="A37" s="1" t="s">
        <v>54</v>
      </c>
      <c r="B37" s="1"/>
      <c r="C37" s="1"/>
      <c r="D37" s="10">
        <v>2.8</v>
      </c>
      <c r="E37" s="5"/>
      <c r="G37" s="9">
        <v>89</v>
      </c>
      <c r="H37" s="9">
        <v>23</v>
      </c>
      <c r="I37" s="9">
        <v>1</v>
      </c>
      <c r="J37" s="9">
        <v>0</v>
      </c>
      <c r="K37" s="33">
        <f t="shared" si="0"/>
        <v>0</v>
      </c>
      <c r="L37" s="9">
        <f t="shared" si="1"/>
        <v>0</v>
      </c>
      <c r="M37" s="9">
        <f t="shared" si="2"/>
        <v>0</v>
      </c>
      <c r="N37" s="9">
        <f t="shared" si="3"/>
        <v>0</v>
      </c>
      <c r="O37" s="9"/>
      <c r="P37" s="9"/>
      <c r="Q37" s="9"/>
      <c r="R37" s="9"/>
    </row>
    <row r="38" spans="1:19">
      <c r="A38" s="1" t="s">
        <v>31</v>
      </c>
      <c r="B38" s="1">
        <v>120</v>
      </c>
      <c r="C38" s="1">
        <v>2</v>
      </c>
      <c r="D38" s="10">
        <v>1</v>
      </c>
      <c r="E38" s="5">
        <f>0.001*145</f>
        <v>0.14499999999999999</v>
      </c>
      <c r="G38" s="9">
        <v>86</v>
      </c>
      <c r="H38" s="9">
        <v>20</v>
      </c>
      <c r="I38" s="9">
        <v>2</v>
      </c>
      <c r="J38" s="9">
        <v>0</v>
      </c>
      <c r="K38" s="33">
        <f t="shared" si="0"/>
        <v>103.2</v>
      </c>
      <c r="L38" s="9">
        <f t="shared" si="1"/>
        <v>24</v>
      </c>
      <c r="M38" s="9">
        <f t="shared" si="2"/>
        <v>2.4</v>
      </c>
      <c r="N38" s="9">
        <f t="shared" si="3"/>
        <v>0</v>
      </c>
      <c r="O38" s="9">
        <v>103</v>
      </c>
      <c r="P38" s="9">
        <v>24</v>
      </c>
      <c r="Q38" s="9">
        <v>2</v>
      </c>
      <c r="R38" s="9">
        <v>0</v>
      </c>
    </row>
    <row r="39" spans="1:19">
      <c r="A39" s="1" t="s">
        <v>69</v>
      </c>
      <c r="B39" s="1">
        <v>80</v>
      </c>
      <c r="C39" s="1">
        <v>2</v>
      </c>
      <c r="D39" s="10">
        <v>1.7</v>
      </c>
      <c r="E39" s="5">
        <f>1.7/1000*84</f>
        <v>0.14279999999999998</v>
      </c>
      <c r="G39" s="9">
        <v>35</v>
      </c>
      <c r="H39" s="9">
        <v>8</v>
      </c>
      <c r="I39" s="9">
        <v>1</v>
      </c>
      <c r="J39" s="9">
        <v>0</v>
      </c>
      <c r="K39" s="33">
        <f t="shared" si="0"/>
        <v>28</v>
      </c>
      <c r="L39" s="9">
        <f t="shared" si="1"/>
        <v>6.4</v>
      </c>
      <c r="M39" s="9">
        <f t="shared" si="2"/>
        <v>0.8</v>
      </c>
      <c r="N39" s="9">
        <f t="shared" si="3"/>
        <v>0</v>
      </c>
      <c r="O39" s="9">
        <v>28</v>
      </c>
      <c r="P39" s="9">
        <v>7</v>
      </c>
      <c r="Q39" s="9">
        <v>1</v>
      </c>
      <c r="R39" s="9">
        <v>0</v>
      </c>
    </row>
    <row r="40" spans="1:19">
      <c r="A40" s="1" t="s">
        <v>32</v>
      </c>
      <c r="B40" s="1">
        <v>80</v>
      </c>
      <c r="C40" s="1">
        <v>2</v>
      </c>
      <c r="D40" s="10">
        <v>4.22</v>
      </c>
      <c r="E40" s="5">
        <v>1.5</v>
      </c>
      <c r="F40" t="s">
        <v>68</v>
      </c>
      <c r="G40" s="9">
        <v>35</v>
      </c>
      <c r="H40" s="9">
        <v>0</v>
      </c>
      <c r="I40" s="9">
        <v>2</v>
      </c>
      <c r="J40" s="9">
        <v>7</v>
      </c>
      <c r="K40" s="33">
        <f t="shared" si="0"/>
        <v>28</v>
      </c>
      <c r="L40" s="9">
        <f t="shared" si="1"/>
        <v>0</v>
      </c>
      <c r="M40" s="9">
        <f t="shared" si="2"/>
        <v>1.6</v>
      </c>
      <c r="N40" s="9">
        <f t="shared" si="3"/>
        <v>5.6000000000000005</v>
      </c>
      <c r="O40" s="9">
        <v>28</v>
      </c>
      <c r="P40" s="9">
        <v>6</v>
      </c>
      <c r="Q40" s="9">
        <v>2</v>
      </c>
      <c r="R40" s="9">
        <v>0</v>
      </c>
    </row>
    <row r="41" spans="1:19">
      <c r="A41" s="1" t="s">
        <v>33</v>
      </c>
      <c r="B41" s="1">
        <v>120</v>
      </c>
      <c r="C41" s="1">
        <v>2</v>
      </c>
      <c r="D41" s="10">
        <v>3.8</v>
      </c>
      <c r="E41" s="5">
        <f>3.8/1000*150</f>
        <v>0.56999999999999995</v>
      </c>
      <c r="G41" s="9">
        <v>130</v>
      </c>
      <c r="H41" s="9">
        <v>29</v>
      </c>
      <c r="I41" s="9">
        <v>3</v>
      </c>
      <c r="J41" s="9">
        <v>0</v>
      </c>
      <c r="K41" s="33">
        <f t="shared" si="0"/>
        <v>156</v>
      </c>
      <c r="L41" s="9">
        <f t="shared" si="1"/>
        <v>34.799999999999997</v>
      </c>
      <c r="M41" s="9">
        <f t="shared" si="2"/>
        <v>3.5999999999999996</v>
      </c>
      <c r="N41" s="9">
        <f t="shared" si="3"/>
        <v>0</v>
      </c>
      <c r="O41" s="9">
        <v>156</v>
      </c>
      <c r="P41" s="9">
        <v>34</v>
      </c>
      <c r="Q41" s="9">
        <v>3</v>
      </c>
      <c r="R41" s="9">
        <v>0</v>
      </c>
    </row>
    <row r="42" spans="1:19">
      <c r="A42" s="1" t="s">
        <v>42</v>
      </c>
      <c r="B42" s="1"/>
      <c r="C42" s="1"/>
      <c r="D42" s="10"/>
      <c r="E42" s="5"/>
      <c r="G42" s="9"/>
      <c r="H42" s="9"/>
      <c r="I42" s="9"/>
      <c r="J42" s="9"/>
      <c r="K42" s="33">
        <f t="shared" si="0"/>
        <v>0</v>
      </c>
      <c r="L42" s="9">
        <f t="shared" si="1"/>
        <v>0</v>
      </c>
      <c r="M42" s="9">
        <f t="shared" si="2"/>
        <v>0</v>
      </c>
      <c r="N42" s="9">
        <f t="shared" si="3"/>
        <v>0</v>
      </c>
      <c r="O42" s="9">
        <v>147</v>
      </c>
      <c r="P42" s="9">
        <v>9</v>
      </c>
      <c r="Q42" s="9">
        <v>3</v>
      </c>
      <c r="R42" s="9">
        <v>12</v>
      </c>
      <c r="S42" t="s">
        <v>141</v>
      </c>
    </row>
    <row r="43" spans="1:19">
      <c r="A43" s="1" t="s">
        <v>34</v>
      </c>
      <c r="B43" s="1">
        <v>30</v>
      </c>
      <c r="C43" s="1">
        <v>2</v>
      </c>
      <c r="D43" s="10" t="s">
        <v>57</v>
      </c>
      <c r="E43" s="5">
        <v>1.34</v>
      </c>
      <c r="G43" s="9"/>
      <c r="H43" s="9"/>
      <c r="I43" s="9"/>
      <c r="J43" s="9"/>
      <c r="K43" s="33">
        <f t="shared" si="0"/>
        <v>0</v>
      </c>
      <c r="L43" s="9">
        <f t="shared" si="1"/>
        <v>0</v>
      </c>
      <c r="M43" s="9">
        <f t="shared" si="2"/>
        <v>0</v>
      </c>
      <c r="N43" s="9">
        <f t="shared" si="3"/>
        <v>0</v>
      </c>
      <c r="O43" s="9">
        <v>163</v>
      </c>
      <c r="P43" s="9">
        <v>3</v>
      </c>
      <c r="Q43" s="9">
        <v>3</v>
      </c>
      <c r="R43" s="9">
        <v>16</v>
      </c>
      <c r="S43" t="s">
        <v>139</v>
      </c>
    </row>
    <row r="44" spans="1:19">
      <c r="A44" s="1" t="s">
        <v>35</v>
      </c>
      <c r="B44" s="1">
        <v>80</v>
      </c>
      <c r="C44" s="1"/>
      <c r="D44" s="10">
        <f>7.7/2600*1000</f>
        <v>2.9615384615384617</v>
      </c>
      <c r="E44" s="5">
        <f>+D44/1000*B44</f>
        <v>0.23692307692307693</v>
      </c>
      <c r="G44" s="9"/>
      <c r="H44" s="9"/>
      <c r="I44" s="9"/>
      <c r="J44" s="9"/>
      <c r="K44" s="33">
        <f t="shared" si="0"/>
        <v>0</v>
      </c>
      <c r="L44" s="9">
        <f t="shared" si="1"/>
        <v>0</v>
      </c>
      <c r="M44" s="9">
        <f t="shared" si="2"/>
        <v>0</v>
      </c>
      <c r="N44" s="9">
        <f t="shared" si="3"/>
        <v>0</v>
      </c>
      <c r="O44" s="9">
        <v>424</v>
      </c>
      <c r="P44" s="9">
        <v>11</v>
      </c>
      <c r="Q44" s="9">
        <v>2</v>
      </c>
      <c r="R44" s="9">
        <v>41</v>
      </c>
      <c r="S44" t="s">
        <v>138</v>
      </c>
    </row>
    <row r="45" spans="1:19">
      <c r="A45" s="1" t="s">
        <v>36</v>
      </c>
      <c r="B45" s="1">
        <v>80</v>
      </c>
      <c r="C45" s="1"/>
      <c r="D45" s="10" t="s">
        <v>63</v>
      </c>
      <c r="E45" s="5">
        <f>0.00413793103448276*80</f>
        <v>0.3310344827586208</v>
      </c>
      <c r="G45" s="9"/>
      <c r="H45" s="9"/>
      <c r="I45" s="9"/>
      <c r="J45" s="9"/>
      <c r="K45" s="33">
        <f t="shared" si="0"/>
        <v>0</v>
      </c>
      <c r="L45" s="9">
        <f t="shared" si="1"/>
        <v>0</v>
      </c>
      <c r="M45" s="9">
        <f t="shared" si="2"/>
        <v>0</v>
      </c>
      <c r="N45" s="9">
        <f t="shared" si="3"/>
        <v>0</v>
      </c>
      <c r="O45" s="9">
        <v>142</v>
      </c>
      <c r="P45" s="9">
        <v>3</v>
      </c>
      <c r="Q45" s="9">
        <v>2</v>
      </c>
      <c r="R45" s="9">
        <v>13</v>
      </c>
      <c r="S45" t="s">
        <v>138</v>
      </c>
    </row>
    <row r="46" spans="1:19">
      <c r="A46" s="1" t="s">
        <v>61</v>
      </c>
      <c r="B46" s="1">
        <v>80</v>
      </c>
      <c r="C46" s="1"/>
      <c r="D46" s="10"/>
      <c r="E46" s="5"/>
      <c r="G46" s="9"/>
      <c r="H46" s="9"/>
      <c r="I46" s="9"/>
      <c r="J46" s="9"/>
      <c r="K46" s="33">
        <f t="shared" si="0"/>
        <v>0</v>
      </c>
      <c r="L46" s="9">
        <f t="shared" si="1"/>
        <v>0</v>
      </c>
      <c r="M46" s="9">
        <f t="shared" si="2"/>
        <v>0</v>
      </c>
      <c r="N46" s="9">
        <f t="shared" si="3"/>
        <v>0</v>
      </c>
      <c r="O46" s="9">
        <v>88</v>
      </c>
      <c r="P46" s="9">
        <v>2</v>
      </c>
      <c r="Q46" s="9">
        <v>1</v>
      </c>
      <c r="R46" s="9">
        <v>8</v>
      </c>
      <c r="S46" t="s">
        <v>140</v>
      </c>
    </row>
    <row r="47" spans="1:19">
      <c r="A47" s="1" t="s">
        <v>67</v>
      </c>
      <c r="B47" s="1">
        <v>70</v>
      </c>
      <c r="C47" s="1"/>
      <c r="D47" s="10"/>
      <c r="E47" s="5">
        <v>0.24</v>
      </c>
      <c r="G47" s="9"/>
      <c r="H47" s="9"/>
      <c r="I47" s="9"/>
      <c r="J47" s="9"/>
      <c r="K47" s="33">
        <f t="shared" si="0"/>
        <v>0</v>
      </c>
      <c r="L47" s="9">
        <f t="shared" si="1"/>
        <v>0</v>
      </c>
      <c r="M47" s="9">
        <f t="shared" si="2"/>
        <v>0</v>
      </c>
      <c r="N47" s="9">
        <f t="shared" si="3"/>
        <v>0</v>
      </c>
      <c r="O47" s="9">
        <v>317</v>
      </c>
      <c r="P47" s="9">
        <v>3</v>
      </c>
      <c r="Q47" s="9">
        <v>1</v>
      </c>
      <c r="R47" s="9">
        <v>34</v>
      </c>
      <c r="S47" t="s">
        <v>140</v>
      </c>
    </row>
    <row r="48" spans="1:19">
      <c r="A48" s="1" t="s">
        <v>37</v>
      </c>
      <c r="B48" s="1">
        <v>30</v>
      </c>
      <c r="C48" s="1">
        <v>2</v>
      </c>
      <c r="D48" s="10" t="s">
        <v>58</v>
      </c>
      <c r="E48" s="5">
        <f>7.6/1200*B48</f>
        <v>0.19</v>
      </c>
      <c r="G48" s="9"/>
      <c r="H48" s="9"/>
      <c r="I48" s="9"/>
      <c r="J48" s="9"/>
      <c r="K48" s="33">
        <f t="shared" si="0"/>
        <v>0</v>
      </c>
      <c r="L48" s="9">
        <f t="shared" si="1"/>
        <v>0</v>
      </c>
      <c r="M48" s="9">
        <f t="shared" si="2"/>
        <v>0</v>
      </c>
      <c r="N48" s="9">
        <f t="shared" si="3"/>
        <v>0</v>
      </c>
      <c r="O48" s="9">
        <v>65</v>
      </c>
      <c r="P48" s="9">
        <v>4</v>
      </c>
      <c r="Q48" s="9">
        <v>1</v>
      </c>
      <c r="R48" s="9">
        <v>5</v>
      </c>
      <c r="S48" t="s">
        <v>139</v>
      </c>
    </row>
    <row r="49" spans="1:18">
      <c r="A49" s="8" t="s">
        <v>44</v>
      </c>
      <c r="B49" s="1"/>
      <c r="C49" s="1"/>
      <c r="D49" s="10">
        <v>27.8</v>
      </c>
      <c r="E49" s="9"/>
      <c r="G49" s="9"/>
      <c r="H49" s="9"/>
      <c r="I49" s="9"/>
      <c r="J49" s="9"/>
      <c r="K49" s="33">
        <f t="shared" si="0"/>
        <v>0</v>
      </c>
      <c r="L49" s="9">
        <f t="shared" si="1"/>
        <v>0</v>
      </c>
      <c r="M49" s="9">
        <f t="shared" si="2"/>
        <v>0</v>
      </c>
      <c r="N49" s="9">
        <f t="shared" si="3"/>
        <v>0</v>
      </c>
      <c r="O49" s="9"/>
      <c r="P49" s="9"/>
      <c r="Q49" s="9"/>
      <c r="R49" s="9"/>
    </row>
    <row r="50" spans="1:18">
      <c r="A50" s="8" t="s">
        <v>45</v>
      </c>
      <c r="B50" s="1"/>
      <c r="C50" s="1"/>
      <c r="D50" s="10">
        <f>1.25*1.2</f>
        <v>1.5</v>
      </c>
      <c r="E50" s="9"/>
      <c r="G50" s="9"/>
      <c r="H50" s="9"/>
      <c r="I50" s="9"/>
      <c r="J50" s="9"/>
      <c r="K50" s="33">
        <f t="shared" si="0"/>
        <v>0</v>
      </c>
      <c r="L50" s="9">
        <f t="shared" si="1"/>
        <v>0</v>
      </c>
      <c r="M50" s="9">
        <f t="shared" si="2"/>
        <v>0</v>
      </c>
      <c r="N50" s="9">
        <f t="shared" si="3"/>
        <v>0</v>
      </c>
      <c r="O50" s="9"/>
      <c r="P50" s="9"/>
      <c r="Q50" s="9"/>
      <c r="R50" s="9"/>
    </row>
    <row r="51" spans="1:18">
      <c r="A51" s="8" t="s">
        <v>46</v>
      </c>
      <c r="B51" s="1"/>
      <c r="C51" s="1"/>
      <c r="D51" s="10">
        <v>4.9000000000000004</v>
      </c>
      <c r="E51" s="9"/>
      <c r="G51" s="9"/>
      <c r="H51" s="9"/>
      <c r="I51" s="9"/>
      <c r="J51" s="9"/>
      <c r="K51" s="33">
        <f t="shared" si="0"/>
        <v>0</v>
      </c>
      <c r="L51" s="9">
        <f t="shared" si="1"/>
        <v>0</v>
      </c>
      <c r="M51" s="9">
        <f t="shared" si="2"/>
        <v>0</v>
      </c>
      <c r="N51" s="9">
        <f t="shared" si="3"/>
        <v>0</v>
      </c>
      <c r="O51" s="9"/>
      <c r="P51" s="9"/>
      <c r="Q51" s="9"/>
      <c r="R51" s="9"/>
    </row>
    <row r="52" spans="1:18">
      <c r="A52" s="8" t="s">
        <v>47</v>
      </c>
      <c r="B52" s="1"/>
      <c r="C52" s="1"/>
      <c r="D52" s="10">
        <v>0.4</v>
      </c>
      <c r="E52" s="9"/>
      <c r="G52" s="9"/>
      <c r="H52" s="9"/>
      <c r="I52" s="9"/>
      <c r="J52" s="9"/>
      <c r="K52" s="33">
        <f t="shared" si="0"/>
        <v>0</v>
      </c>
      <c r="L52" s="9">
        <f t="shared" si="1"/>
        <v>0</v>
      </c>
      <c r="M52" s="9">
        <f t="shared" si="2"/>
        <v>0</v>
      </c>
      <c r="N52" s="9">
        <f t="shared" si="3"/>
        <v>0</v>
      </c>
      <c r="O52" s="9"/>
      <c r="P52" s="9"/>
      <c r="Q52" s="9"/>
      <c r="R52" s="9"/>
    </row>
    <row r="53" spans="1:18">
      <c r="A53" s="8" t="s">
        <v>48</v>
      </c>
      <c r="B53" s="1"/>
      <c r="C53" s="1"/>
      <c r="D53" s="10">
        <v>3.47</v>
      </c>
      <c r="E53" s="9"/>
      <c r="G53" s="9"/>
      <c r="H53" s="9"/>
      <c r="I53" s="9"/>
      <c r="J53" s="9"/>
      <c r="K53" s="33">
        <f t="shared" si="0"/>
        <v>0</v>
      </c>
      <c r="L53" s="9">
        <f t="shared" si="1"/>
        <v>0</v>
      </c>
      <c r="M53" s="9">
        <f t="shared" si="2"/>
        <v>0</v>
      </c>
      <c r="N53" s="9">
        <f t="shared" si="3"/>
        <v>0</v>
      </c>
      <c r="O53" s="9"/>
      <c r="P53" s="9"/>
      <c r="Q53" s="9"/>
      <c r="R53" s="9"/>
    </row>
    <row r="54" spans="1:18">
      <c r="A54" s="8" t="s">
        <v>50</v>
      </c>
      <c r="B54" s="1"/>
      <c r="C54" s="1"/>
      <c r="D54" s="10">
        <v>7</v>
      </c>
      <c r="E54" s="9"/>
      <c r="G54" s="9"/>
      <c r="H54" s="9"/>
      <c r="I54" s="9"/>
      <c r="J54" s="9"/>
      <c r="K54" s="33">
        <f t="shared" si="0"/>
        <v>0</v>
      </c>
      <c r="L54" s="9">
        <f t="shared" si="1"/>
        <v>0</v>
      </c>
      <c r="M54" s="9">
        <f t="shared" si="2"/>
        <v>0</v>
      </c>
      <c r="N54" s="9">
        <f t="shared" si="3"/>
        <v>0</v>
      </c>
      <c r="O54" s="9"/>
      <c r="P54" s="9"/>
      <c r="Q54" s="9"/>
      <c r="R54" s="9"/>
    </row>
    <row r="55" spans="1:18">
      <c r="A55" s="8" t="s">
        <v>51</v>
      </c>
      <c r="B55" s="1"/>
      <c r="C55" s="1"/>
      <c r="D55" s="10">
        <v>23</v>
      </c>
      <c r="E55" s="9"/>
      <c r="G55" s="9"/>
      <c r="H55" s="9"/>
      <c r="I55" s="9"/>
      <c r="J55" s="9"/>
      <c r="K55" s="33">
        <f t="shared" si="0"/>
        <v>0</v>
      </c>
      <c r="L55" s="9">
        <f t="shared" si="1"/>
        <v>0</v>
      </c>
      <c r="M55" s="9">
        <f t="shared" si="2"/>
        <v>0</v>
      </c>
      <c r="N55" s="9">
        <f t="shared" si="3"/>
        <v>0</v>
      </c>
      <c r="O55" s="9"/>
      <c r="P55" s="9"/>
      <c r="Q55" s="9"/>
      <c r="R55" s="9"/>
    </row>
    <row r="56" spans="1:18">
      <c r="A56" s="8" t="s">
        <v>55</v>
      </c>
      <c r="B56" s="1"/>
      <c r="C56" s="1"/>
      <c r="D56" s="10">
        <v>11</v>
      </c>
      <c r="E56" s="9"/>
      <c r="G56" s="9"/>
      <c r="H56" s="9"/>
      <c r="I56" s="9"/>
      <c r="J56" s="9"/>
      <c r="K56" s="33">
        <f t="shared" si="0"/>
        <v>0</v>
      </c>
      <c r="L56" s="9">
        <f t="shared" si="1"/>
        <v>0</v>
      </c>
      <c r="M56" s="9">
        <f t="shared" si="2"/>
        <v>0</v>
      </c>
      <c r="N56" s="9">
        <f t="shared" si="3"/>
        <v>0</v>
      </c>
      <c r="O56" s="9"/>
      <c r="P56" s="9"/>
      <c r="Q56" s="9"/>
      <c r="R56" s="9"/>
    </row>
    <row r="57" spans="1:18">
      <c r="A57" s="8" t="s">
        <v>56</v>
      </c>
      <c r="B57" s="1"/>
      <c r="C57" s="1"/>
      <c r="D57" s="10">
        <v>20</v>
      </c>
      <c r="E57" s="9"/>
      <c r="G57" s="9"/>
      <c r="H57" s="9"/>
      <c r="I57" s="9"/>
      <c r="J57" s="9"/>
      <c r="K57" s="33">
        <f t="shared" si="0"/>
        <v>0</v>
      </c>
      <c r="L57" s="9">
        <f t="shared" si="1"/>
        <v>0</v>
      </c>
      <c r="M57" s="9">
        <f t="shared" si="2"/>
        <v>0</v>
      </c>
      <c r="N57" s="9">
        <f t="shared" si="3"/>
        <v>0</v>
      </c>
      <c r="O57" s="9"/>
      <c r="P57" s="9"/>
      <c r="Q57" s="9"/>
      <c r="R57" s="9"/>
    </row>
    <row r="58" spans="1:18">
      <c r="A58" s="8" t="s">
        <v>60</v>
      </c>
      <c r="B58" s="1">
        <v>15</v>
      </c>
      <c r="C58" s="1"/>
      <c r="D58" s="1">
        <v>19.66</v>
      </c>
      <c r="E58" s="1">
        <v>0.26</v>
      </c>
      <c r="G58" s="9"/>
      <c r="H58" s="9"/>
      <c r="I58" s="9"/>
      <c r="J58" s="9"/>
      <c r="K58" s="33">
        <f t="shared" si="0"/>
        <v>0</v>
      </c>
      <c r="L58" s="9">
        <f t="shared" si="1"/>
        <v>0</v>
      </c>
      <c r="M58" s="9">
        <f t="shared" si="2"/>
        <v>0</v>
      </c>
      <c r="N58" s="9">
        <f t="shared" si="3"/>
        <v>0</v>
      </c>
      <c r="O58" s="9"/>
      <c r="P58" s="9"/>
      <c r="Q58" s="9"/>
      <c r="R58" s="9"/>
    </row>
    <row r="59" spans="1:18">
      <c r="A59" s="1" t="s">
        <v>62</v>
      </c>
      <c r="B59" s="1">
        <v>10</v>
      </c>
      <c r="C59" s="1"/>
      <c r="D59" s="1">
        <v>7.5</v>
      </c>
      <c r="E59" s="1">
        <f>7.5/1000*8</f>
        <v>0.06</v>
      </c>
      <c r="G59" s="9"/>
      <c r="H59" s="9"/>
      <c r="I59" s="9"/>
      <c r="J59" s="9"/>
      <c r="K59" s="33">
        <f t="shared" si="0"/>
        <v>0</v>
      </c>
      <c r="L59" s="9">
        <f t="shared" si="1"/>
        <v>0</v>
      </c>
      <c r="M59" s="9">
        <f t="shared" si="2"/>
        <v>0</v>
      </c>
      <c r="N59" s="9">
        <f t="shared" si="3"/>
        <v>0</v>
      </c>
      <c r="O59" s="9"/>
      <c r="P59" s="9"/>
      <c r="Q59" s="9"/>
      <c r="R59" s="9"/>
    </row>
  </sheetData>
  <autoFilter ref="A1:F59">
    <filterColumn colId="0"/>
  </autoFilter>
  <pageMargins left="0" right="0" top="0" bottom="0" header="0" footer="0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9"/>
  <sheetViews>
    <sheetView workbookViewId="0">
      <selection activeCell="I3" sqref="I3"/>
    </sheetView>
  </sheetViews>
  <sheetFormatPr defaultRowHeight="14.5"/>
  <cols>
    <col min="1" max="1" width="20.08984375" bestFit="1" customWidth="1"/>
    <col min="3" max="3" width="8.36328125" customWidth="1"/>
    <col min="4" max="7" width="10" customWidth="1"/>
    <col min="8" max="8" width="10.81640625" customWidth="1"/>
    <col min="9" max="9" width="10.81640625" style="26" customWidth="1"/>
    <col min="14" max="14" width="8.7265625" style="18"/>
  </cols>
  <sheetData>
    <row r="1" spans="1:15" ht="46.5" customHeight="1">
      <c r="A1" s="2" t="s">
        <v>39</v>
      </c>
      <c r="B1" s="3" t="s">
        <v>41</v>
      </c>
      <c r="C1" s="14" t="s">
        <v>40</v>
      </c>
      <c r="D1" s="3" t="s">
        <v>43</v>
      </c>
      <c r="E1" s="3" t="s">
        <v>72</v>
      </c>
      <c r="F1" s="17" t="s">
        <v>71</v>
      </c>
      <c r="G1" s="17" t="s">
        <v>77</v>
      </c>
      <c r="H1" s="3" t="s">
        <v>70</v>
      </c>
      <c r="I1" s="20" t="s">
        <v>78</v>
      </c>
      <c r="J1">
        <v>1000</v>
      </c>
    </row>
    <row r="2" spans="1:15">
      <c r="A2" s="1" t="s">
        <v>0</v>
      </c>
      <c r="B2" s="1">
        <v>80</v>
      </c>
      <c r="C2" s="1">
        <v>2</v>
      </c>
      <c r="D2" s="10">
        <v>15.78</v>
      </c>
      <c r="E2" s="10">
        <f>+D2/1.95583</f>
        <v>8.0681858852763284</v>
      </c>
      <c r="F2" s="10">
        <f>6.721*1.2</f>
        <v>8.065199999999999</v>
      </c>
      <c r="G2" s="10">
        <v>8.49</v>
      </c>
      <c r="H2" s="13">
        <f>(16.6/1000)*80</f>
        <v>1.3280000000000001</v>
      </c>
      <c r="I2" s="21">
        <f>+G2/J1*B2</f>
        <v>0.67920000000000003</v>
      </c>
    </row>
    <row r="3" spans="1:15">
      <c r="A3" s="1" t="s">
        <v>1</v>
      </c>
      <c r="B3" s="1">
        <v>70</v>
      </c>
      <c r="C3" s="1">
        <v>2</v>
      </c>
      <c r="D3" s="10">
        <v>14.6</v>
      </c>
      <c r="E3" s="10">
        <f>+D3/1.95583</f>
        <v>7.4648614654647902</v>
      </c>
      <c r="F3" s="10">
        <f>6.215*1.2</f>
        <v>7.4579999999999993</v>
      </c>
      <c r="G3" s="10">
        <v>7.85</v>
      </c>
      <c r="H3" s="13">
        <f>14.6/1000*70</f>
        <v>1.022</v>
      </c>
      <c r="I3" s="21">
        <f>+G3/J1*B3</f>
        <v>0.54949999999999999</v>
      </c>
    </row>
    <row r="4" spans="1:15">
      <c r="A4" s="1" t="s">
        <v>2</v>
      </c>
      <c r="B4" s="1">
        <v>70</v>
      </c>
      <c r="C4" s="1">
        <v>2</v>
      </c>
      <c r="D4" s="10">
        <v>7.9</v>
      </c>
      <c r="E4" s="10">
        <f>+D4/1.95583</f>
        <v>4.0392058614501263</v>
      </c>
      <c r="F4" s="10">
        <v>4.13</v>
      </c>
      <c r="G4" s="10">
        <v>4.76</v>
      </c>
      <c r="H4" s="5">
        <f>+D4/1000*70</f>
        <v>0.55300000000000005</v>
      </c>
      <c r="I4" s="22">
        <f>+G4/J1*B4</f>
        <v>0.33319999999999994</v>
      </c>
      <c r="N4" s="18" t="s">
        <v>76</v>
      </c>
    </row>
    <row r="5" spans="1:15">
      <c r="A5" s="1" t="s">
        <v>3</v>
      </c>
      <c r="B5" s="1">
        <v>40</v>
      </c>
      <c r="C5" s="1">
        <v>2</v>
      </c>
      <c r="D5" s="10">
        <f>6.1*1.2*2</f>
        <v>14.639999999999999</v>
      </c>
      <c r="E5" s="10"/>
      <c r="F5" s="10">
        <v>7.88</v>
      </c>
      <c r="G5" s="10">
        <f>3.94*2</f>
        <v>7.88</v>
      </c>
      <c r="H5" s="5">
        <f>14.4/1000*40</f>
        <v>0.57599999999999996</v>
      </c>
      <c r="I5" s="22">
        <f>+G5/J1*B5</f>
        <v>0.31519999999999998</v>
      </c>
    </row>
    <row r="6" spans="1:15">
      <c r="A6" s="1" t="s">
        <v>4</v>
      </c>
      <c r="B6" s="1">
        <v>70</v>
      </c>
      <c r="C6" s="1">
        <v>2</v>
      </c>
      <c r="D6" s="10">
        <f>9*1.2</f>
        <v>10.799999999999999</v>
      </c>
      <c r="E6" s="10"/>
      <c r="F6" s="10"/>
      <c r="G6" s="10"/>
      <c r="H6" s="5">
        <f>+D6/J1*B7</f>
        <v>0.80999999999999994</v>
      </c>
      <c r="I6" s="22"/>
    </row>
    <row r="7" spans="1:15">
      <c r="A7" s="1" t="s">
        <v>5</v>
      </c>
      <c r="B7" s="1">
        <v>75</v>
      </c>
      <c r="C7" s="1">
        <v>2</v>
      </c>
      <c r="D7" s="10">
        <v>13.8</v>
      </c>
      <c r="E7" s="10"/>
      <c r="F7" s="10"/>
      <c r="G7" s="10">
        <v>7.62</v>
      </c>
      <c r="H7" s="13">
        <f>+D7/J1*B7</f>
        <v>1.0350000000000001</v>
      </c>
      <c r="I7" s="21">
        <f>+G7/J1*B7</f>
        <v>0.57150000000000001</v>
      </c>
    </row>
    <row r="8" spans="1:15">
      <c r="A8" s="1" t="s">
        <v>6</v>
      </c>
      <c r="B8" s="1">
        <v>80</v>
      </c>
      <c r="C8" s="1">
        <v>2</v>
      </c>
      <c r="D8" s="10">
        <v>17.03</v>
      </c>
      <c r="E8" s="10">
        <f>+D8/1.95583</f>
        <v>8.707300736771602</v>
      </c>
      <c r="F8" s="10">
        <f>0.91*1.2*8</f>
        <v>8.7360000000000007</v>
      </c>
      <c r="G8" s="19">
        <f>1.15*8</f>
        <v>9.1999999999999993</v>
      </c>
      <c r="H8" s="13">
        <f>+D8/J1*B8</f>
        <v>1.3624000000000001</v>
      </c>
      <c r="I8" s="21">
        <f>+G8/J1*B8</f>
        <v>0.73599999999999999</v>
      </c>
      <c r="J8" t="s">
        <v>73</v>
      </c>
    </row>
    <row r="9" spans="1:15">
      <c r="A9" s="1" t="s">
        <v>7</v>
      </c>
      <c r="B9" s="1">
        <v>60</v>
      </c>
      <c r="C9" s="1">
        <v>4</v>
      </c>
      <c r="D9" s="10">
        <v>20.2</v>
      </c>
      <c r="E9" s="10"/>
      <c r="F9" s="10">
        <v>10</v>
      </c>
      <c r="G9" s="10">
        <v>10.33</v>
      </c>
      <c r="H9" s="13">
        <f>+D9/J1*B9</f>
        <v>1.212</v>
      </c>
      <c r="I9" s="21">
        <f>+G9/J1*B9</f>
        <v>0.61980000000000002</v>
      </c>
      <c r="N9" s="18">
        <v>10.33</v>
      </c>
      <c r="O9" t="s">
        <v>74</v>
      </c>
    </row>
    <row r="10" spans="1:15">
      <c r="A10" s="1" t="s">
        <v>8</v>
      </c>
      <c r="B10" s="1">
        <v>25</v>
      </c>
      <c r="C10" s="1">
        <v>1</v>
      </c>
      <c r="D10" s="10">
        <v>3</v>
      </c>
      <c r="E10" s="10"/>
      <c r="F10" s="10">
        <v>1.8</v>
      </c>
      <c r="G10" s="27">
        <v>2</v>
      </c>
      <c r="H10" s="6">
        <v>0.5</v>
      </c>
      <c r="I10" s="21">
        <v>0.33333333333333331</v>
      </c>
    </row>
    <row r="11" spans="1:15">
      <c r="A11" s="1" t="s">
        <v>9</v>
      </c>
      <c r="B11" s="1">
        <v>130</v>
      </c>
      <c r="C11" s="1">
        <v>5</v>
      </c>
      <c r="D11" s="10">
        <f>1.6*4</f>
        <v>6.4</v>
      </c>
      <c r="E11" s="10"/>
      <c r="F11" s="10">
        <v>0.8</v>
      </c>
      <c r="G11" s="10">
        <v>1.3</v>
      </c>
      <c r="H11" s="5">
        <f>+D11/1000*B11</f>
        <v>0.83200000000000007</v>
      </c>
      <c r="I11" s="22"/>
    </row>
    <row r="12" spans="1:15">
      <c r="A12" s="1" t="s">
        <v>10</v>
      </c>
      <c r="B12" s="1">
        <v>110</v>
      </c>
      <c r="C12" s="1">
        <v>2</v>
      </c>
      <c r="D12" s="10">
        <v>5.8</v>
      </c>
      <c r="E12" s="10"/>
      <c r="F12" s="10">
        <v>1.9</v>
      </c>
      <c r="G12" s="10">
        <v>3</v>
      </c>
      <c r="H12" s="5">
        <f>+D12/J1*B12</f>
        <v>0.6379999999999999</v>
      </c>
      <c r="I12" s="22">
        <f>+G12/J1*B12</f>
        <v>0.33</v>
      </c>
    </row>
    <row r="13" spans="1:15">
      <c r="A13" s="1" t="s">
        <v>11</v>
      </c>
      <c r="B13" s="1">
        <v>100</v>
      </c>
      <c r="C13" s="1">
        <v>2</v>
      </c>
      <c r="D13" s="10">
        <v>3.8</v>
      </c>
      <c r="E13" s="10"/>
      <c r="F13" s="10">
        <v>2.8</v>
      </c>
      <c r="G13" s="27">
        <v>3.6</v>
      </c>
      <c r="H13" s="13">
        <f>+D13/J1*B13</f>
        <v>0.38</v>
      </c>
      <c r="I13" s="21">
        <f>+G13/J1*B13</f>
        <v>0.36</v>
      </c>
    </row>
    <row r="14" spans="1:15">
      <c r="A14" s="1" t="s">
        <v>12</v>
      </c>
      <c r="B14" s="1">
        <v>80</v>
      </c>
      <c r="C14" s="1">
        <v>3</v>
      </c>
      <c r="D14" s="10">
        <v>6</v>
      </c>
      <c r="E14" s="10"/>
      <c r="F14" s="10"/>
      <c r="G14" s="27"/>
      <c r="H14" s="5">
        <f>+D14/J1*B14</f>
        <v>0.48</v>
      </c>
      <c r="I14" s="22"/>
    </row>
    <row r="15" spans="1:15">
      <c r="A15" s="1" t="s">
        <v>13</v>
      </c>
      <c r="B15" s="1">
        <v>150</v>
      </c>
      <c r="C15" s="1">
        <v>5</v>
      </c>
      <c r="D15" s="10">
        <v>1.9</v>
      </c>
      <c r="E15" s="10"/>
      <c r="F15" s="10">
        <v>1</v>
      </c>
      <c r="G15" s="10">
        <v>1</v>
      </c>
      <c r="H15" s="5">
        <f>+D15/J1*B15</f>
        <v>0.28499999999999998</v>
      </c>
      <c r="I15" s="22"/>
    </row>
    <row r="16" spans="1:15">
      <c r="A16" s="1" t="s">
        <v>69</v>
      </c>
      <c r="B16" s="1">
        <v>130</v>
      </c>
      <c r="C16" s="1">
        <v>2</v>
      </c>
      <c r="D16" s="10">
        <v>1.7</v>
      </c>
      <c r="E16" s="10"/>
      <c r="F16" s="10">
        <v>0.7</v>
      </c>
      <c r="G16" s="10">
        <v>0.75</v>
      </c>
      <c r="H16" s="5">
        <f>+D16/J1*B16</f>
        <v>0.22099999999999997</v>
      </c>
      <c r="I16" s="22">
        <f>+G16/J1*B16</f>
        <v>9.7500000000000003E-2</v>
      </c>
    </row>
    <row r="17" spans="1:10">
      <c r="A17" s="1" t="s">
        <v>15</v>
      </c>
      <c r="B17" s="1">
        <v>75</v>
      </c>
      <c r="C17" s="1">
        <v>2</v>
      </c>
      <c r="D17" s="10">
        <v>3.6</v>
      </c>
      <c r="E17" s="10"/>
      <c r="F17" s="27">
        <v>4.7</v>
      </c>
      <c r="G17" s="27">
        <v>5.5</v>
      </c>
      <c r="H17" s="13">
        <f>+D17/J1*B17</f>
        <v>0.27</v>
      </c>
      <c r="I17" s="21">
        <f>+G17/J1*B17</f>
        <v>0.41249999999999998</v>
      </c>
    </row>
    <row r="18" spans="1:10">
      <c r="A18" s="1" t="s">
        <v>16</v>
      </c>
      <c r="B18" s="1">
        <v>25</v>
      </c>
      <c r="C18" s="1">
        <v>4</v>
      </c>
      <c r="D18" s="10">
        <f>13*0.6</f>
        <v>7.8</v>
      </c>
      <c r="E18" s="10"/>
      <c r="F18" s="10"/>
      <c r="G18" s="10"/>
      <c r="H18" s="5">
        <f>+D18/J1*B18</f>
        <v>0.19499999999999998</v>
      </c>
      <c r="I18" s="22"/>
    </row>
    <row r="19" spans="1:10">
      <c r="A19" s="1" t="s">
        <v>17</v>
      </c>
      <c r="B19" s="1">
        <v>120</v>
      </c>
      <c r="C19" s="1">
        <v>2</v>
      </c>
      <c r="D19" s="10">
        <v>1.6</v>
      </c>
      <c r="E19" s="10"/>
      <c r="F19" s="10"/>
      <c r="G19" s="10"/>
      <c r="H19" s="5">
        <f>+D19/J1*B19</f>
        <v>0.192</v>
      </c>
      <c r="I19" s="22"/>
    </row>
    <row r="20" spans="1:10">
      <c r="A20" s="8" t="s">
        <v>18</v>
      </c>
      <c r="B20" s="1">
        <v>65</v>
      </c>
      <c r="C20" s="1">
        <v>2</v>
      </c>
      <c r="D20" s="10">
        <f>1.35/240*1000</f>
        <v>5.6250000000000009</v>
      </c>
      <c r="E20" s="10"/>
      <c r="F20" s="10"/>
      <c r="G20" s="10"/>
      <c r="H20" s="5">
        <f>+D20/J1*B20</f>
        <v>0.36562500000000003</v>
      </c>
      <c r="I20" s="22"/>
    </row>
    <row r="21" spans="1:10">
      <c r="A21" s="1" t="s">
        <v>19</v>
      </c>
      <c r="B21" s="1">
        <v>60</v>
      </c>
      <c r="C21" s="1">
        <v>2</v>
      </c>
      <c r="D21" s="10">
        <v>3.2</v>
      </c>
      <c r="E21" s="10"/>
      <c r="F21" s="10"/>
      <c r="G21" s="10"/>
      <c r="H21" s="5">
        <f>3.2/1000*60</f>
        <v>0.192</v>
      </c>
      <c r="I21" s="22"/>
    </row>
    <row r="22" spans="1:10">
      <c r="A22" s="1" t="s">
        <v>20</v>
      </c>
      <c r="B22" s="1">
        <v>110</v>
      </c>
      <c r="C22" s="1">
        <v>2</v>
      </c>
      <c r="D22" s="10">
        <v>8</v>
      </c>
      <c r="E22" s="10"/>
      <c r="F22" s="10"/>
      <c r="G22" s="10"/>
      <c r="H22" s="5">
        <f t="shared" ref="H22:H27" si="0">+D22/1000*B22</f>
        <v>0.88</v>
      </c>
      <c r="I22" s="22"/>
    </row>
    <row r="23" spans="1:10">
      <c r="A23" s="8" t="s">
        <v>21</v>
      </c>
      <c r="B23" s="1">
        <v>60</v>
      </c>
      <c r="C23" s="1">
        <v>2</v>
      </c>
      <c r="D23" s="10">
        <f>3/230*1000</f>
        <v>13.043478260869565</v>
      </c>
      <c r="E23" s="10"/>
      <c r="F23" s="10"/>
      <c r="G23" s="10"/>
      <c r="H23" s="5">
        <f t="shared" si="0"/>
        <v>0.78260869565217384</v>
      </c>
      <c r="I23" s="22"/>
    </row>
    <row r="24" spans="1:10">
      <c r="A24" s="1" t="s">
        <v>22</v>
      </c>
      <c r="B24" s="1">
        <v>65</v>
      </c>
      <c r="C24" s="1">
        <v>2</v>
      </c>
      <c r="D24" s="10">
        <v>10.5</v>
      </c>
      <c r="E24" s="10"/>
      <c r="F24" s="10">
        <v>5.4</v>
      </c>
      <c r="G24" s="10">
        <v>5.4</v>
      </c>
      <c r="H24" s="5">
        <f t="shared" si="0"/>
        <v>0.6825</v>
      </c>
      <c r="I24" s="22"/>
    </row>
    <row r="25" spans="1:10">
      <c r="A25" s="1" t="s">
        <v>23</v>
      </c>
      <c r="B25" s="1">
        <v>65</v>
      </c>
      <c r="C25" s="1">
        <v>2</v>
      </c>
      <c r="D25" s="10">
        <f>1.38*1.2/250*1000</f>
        <v>6.6239999999999997</v>
      </c>
      <c r="E25" s="10"/>
      <c r="F25" s="10"/>
      <c r="G25" s="10"/>
      <c r="H25" s="5">
        <f t="shared" si="0"/>
        <v>0.43056</v>
      </c>
      <c r="I25" s="22"/>
    </row>
    <row r="26" spans="1:10">
      <c r="A26" s="1" t="s">
        <v>25</v>
      </c>
      <c r="B26" s="1">
        <v>65</v>
      </c>
      <c r="C26" s="1">
        <v>2</v>
      </c>
      <c r="D26" s="10">
        <f>5.42*1.2</f>
        <v>6.5039999999999996</v>
      </c>
      <c r="E26" s="10"/>
      <c r="F26" s="10"/>
      <c r="G26" s="27">
        <v>4.8600000000000003</v>
      </c>
      <c r="H26" s="5">
        <f t="shared" si="0"/>
        <v>0.42275999999999997</v>
      </c>
      <c r="I26" s="22">
        <f>+G26/J1*B26</f>
        <v>0.31590000000000001</v>
      </c>
    </row>
    <row r="27" spans="1:10">
      <c r="A27" s="1" t="s">
        <v>38</v>
      </c>
      <c r="B27" s="1">
        <v>140</v>
      </c>
      <c r="C27" s="1">
        <v>4</v>
      </c>
      <c r="D27" s="10">
        <v>1</v>
      </c>
      <c r="E27" s="10"/>
      <c r="F27" s="10"/>
      <c r="G27" s="10"/>
      <c r="H27" s="5">
        <f t="shared" si="0"/>
        <v>0.14000000000000001</v>
      </c>
      <c r="I27" s="22"/>
    </row>
    <row r="28" spans="1:10">
      <c r="A28" s="1" t="s">
        <v>24</v>
      </c>
      <c r="B28" s="1">
        <v>50</v>
      </c>
      <c r="C28" s="1">
        <v>1</v>
      </c>
      <c r="D28" s="10">
        <v>0.35</v>
      </c>
      <c r="E28" s="10">
        <f>+D28/1.95583</f>
        <v>0.17895215841867645</v>
      </c>
      <c r="F28" s="10">
        <f>0.167*1.2</f>
        <v>0.20039999999999999</v>
      </c>
      <c r="G28" s="10">
        <v>0.23</v>
      </c>
      <c r="H28" s="5">
        <v>0.35</v>
      </c>
      <c r="I28" s="21">
        <v>0.23</v>
      </c>
    </row>
    <row r="29" spans="1:10">
      <c r="A29" s="1" t="s">
        <v>26</v>
      </c>
      <c r="B29" s="1">
        <v>45</v>
      </c>
      <c r="C29" s="1">
        <v>2</v>
      </c>
      <c r="D29" s="10">
        <f>(1.8/1000)*770</f>
        <v>1.3859999999999999</v>
      </c>
      <c r="E29" s="10"/>
      <c r="F29" s="10"/>
      <c r="G29" s="10"/>
      <c r="H29" s="5">
        <f>1.8/770*45</f>
        <v>0.10519480519480519</v>
      </c>
      <c r="I29" s="22"/>
      <c r="J29" t="s">
        <v>64</v>
      </c>
    </row>
    <row r="30" spans="1:10">
      <c r="A30" s="1" t="s">
        <v>27</v>
      </c>
      <c r="B30" s="1">
        <v>170</v>
      </c>
      <c r="C30" s="1"/>
      <c r="D30" s="10">
        <v>2.8</v>
      </c>
      <c r="E30" s="10"/>
      <c r="F30" s="10">
        <v>1.6</v>
      </c>
      <c r="G30" s="10">
        <v>1.6</v>
      </c>
      <c r="H30" s="5">
        <f>2.8/6</f>
        <v>0.46666666666666662</v>
      </c>
      <c r="I30" s="22"/>
    </row>
    <row r="31" spans="1:10">
      <c r="A31" s="1" t="s">
        <v>79</v>
      </c>
      <c r="B31" s="1"/>
      <c r="C31" s="1"/>
      <c r="D31" s="10"/>
      <c r="E31" s="10"/>
      <c r="F31" s="10">
        <v>1.1000000000000001</v>
      </c>
      <c r="G31" s="10">
        <v>1.2</v>
      </c>
      <c r="H31" s="5"/>
      <c r="I31" s="22"/>
    </row>
    <row r="32" spans="1:10">
      <c r="A32" s="8" t="s">
        <v>28</v>
      </c>
      <c r="B32" s="1">
        <v>85</v>
      </c>
      <c r="C32" s="1">
        <v>2</v>
      </c>
      <c r="D32" s="10">
        <f>1.6/255*1000</f>
        <v>6.2745098039215694</v>
      </c>
      <c r="E32" s="10"/>
      <c r="F32" s="10"/>
      <c r="G32" s="10"/>
      <c r="H32" s="5">
        <f>+D32/1000*B32</f>
        <v>0.53333333333333344</v>
      </c>
      <c r="I32" s="22"/>
    </row>
    <row r="33" spans="1:14">
      <c r="A33" s="1" t="s">
        <v>29</v>
      </c>
      <c r="B33" s="1">
        <v>20</v>
      </c>
      <c r="C33" s="1">
        <v>2</v>
      </c>
      <c r="D33" s="10"/>
      <c r="E33" s="10"/>
      <c r="F33" s="10"/>
      <c r="G33" s="10"/>
      <c r="H33" s="5"/>
      <c r="I33" s="22"/>
    </row>
    <row r="34" spans="1:14" ht="58">
      <c r="A34" s="2" t="s">
        <v>30</v>
      </c>
      <c r="B34" s="2">
        <v>20</v>
      </c>
      <c r="C34" s="2">
        <v>2</v>
      </c>
      <c r="D34" s="15" t="s">
        <v>59</v>
      </c>
      <c r="E34" s="15"/>
      <c r="F34" s="15"/>
      <c r="G34" s="15"/>
      <c r="H34" s="16">
        <v>0.28000000000000003</v>
      </c>
      <c r="I34" s="23"/>
    </row>
    <row r="35" spans="1:14">
      <c r="A35" s="1" t="s">
        <v>65</v>
      </c>
      <c r="B35" s="1" t="s">
        <v>52</v>
      </c>
      <c r="C35" s="1" t="s">
        <v>52</v>
      </c>
      <c r="D35" s="10">
        <v>3.6</v>
      </c>
      <c r="E35" s="10"/>
      <c r="F35" s="10"/>
      <c r="G35" s="10"/>
      <c r="H35" s="5" t="s">
        <v>52</v>
      </c>
      <c r="I35" s="24"/>
      <c r="J35" s="7" t="s">
        <v>66</v>
      </c>
    </row>
    <row r="36" spans="1:14">
      <c r="A36" s="1" t="s">
        <v>53</v>
      </c>
      <c r="B36" s="1"/>
      <c r="C36" s="1"/>
      <c r="D36" s="10">
        <v>2.5</v>
      </c>
      <c r="E36" s="10"/>
      <c r="F36" s="10"/>
      <c r="G36" s="10"/>
      <c r="H36" s="5"/>
      <c r="I36" s="22"/>
    </row>
    <row r="37" spans="1:14">
      <c r="A37" s="1" t="s">
        <v>54</v>
      </c>
      <c r="B37" s="1"/>
      <c r="C37" s="1"/>
      <c r="D37" s="10">
        <v>2.8</v>
      </c>
      <c r="E37" s="10"/>
      <c r="F37" s="10">
        <v>1.6</v>
      </c>
      <c r="G37" s="10">
        <v>1.6</v>
      </c>
      <c r="H37" s="5"/>
      <c r="I37" s="22"/>
    </row>
    <row r="38" spans="1:14">
      <c r="A38" s="1" t="s">
        <v>31</v>
      </c>
      <c r="B38" s="1">
        <v>145</v>
      </c>
      <c r="C38" s="1">
        <v>2</v>
      </c>
      <c r="D38" s="10">
        <v>1</v>
      </c>
      <c r="E38" s="10"/>
      <c r="F38" s="10">
        <v>0.5</v>
      </c>
      <c r="G38" s="10">
        <v>0.5</v>
      </c>
      <c r="H38" s="5">
        <f>0.001*145</f>
        <v>0.14499999999999999</v>
      </c>
      <c r="I38" s="22"/>
    </row>
    <row r="39" spans="1:14">
      <c r="A39" s="1" t="s">
        <v>14</v>
      </c>
      <c r="B39" s="1">
        <v>85</v>
      </c>
      <c r="C39" s="1">
        <v>2</v>
      </c>
      <c r="D39" s="10">
        <v>1.7</v>
      </c>
      <c r="E39" s="10"/>
      <c r="F39" s="10"/>
      <c r="G39" s="10"/>
      <c r="H39" s="5">
        <f>1.7/1000*84</f>
        <v>0.14279999999999998</v>
      </c>
      <c r="I39" s="22"/>
    </row>
    <row r="40" spans="1:14">
      <c r="A40" s="1" t="s">
        <v>32</v>
      </c>
      <c r="B40" s="1">
        <v>110</v>
      </c>
      <c r="C40" s="1">
        <v>2</v>
      </c>
      <c r="D40" s="10">
        <v>4.22</v>
      </c>
      <c r="E40" s="10"/>
      <c r="F40" s="10"/>
      <c r="G40" s="28">
        <v>1.94</v>
      </c>
      <c r="H40" s="29">
        <v>1.5</v>
      </c>
      <c r="I40" s="22"/>
      <c r="J40" t="s">
        <v>68</v>
      </c>
      <c r="N40" s="18" t="s">
        <v>75</v>
      </c>
    </row>
    <row r="41" spans="1:14">
      <c r="A41" s="1" t="s">
        <v>33</v>
      </c>
      <c r="B41" s="1">
        <v>150</v>
      </c>
      <c r="C41" s="1">
        <v>2</v>
      </c>
      <c r="D41" s="10">
        <v>3.8</v>
      </c>
      <c r="E41" s="10"/>
      <c r="F41" s="10"/>
      <c r="G41" s="10"/>
      <c r="H41" s="5">
        <f>3.8/1000*150</f>
        <v>0.56999999999999995</v>
      </c>
      <c r="I41" s="22"/>
    </row>
    <row r="42" spans="1:14">
      <c r="A42" s="1" t="s">
        <v>42</v>
      </c>
      <c r="B42" s="1"/>
      <c r="C42" s="1"/>
      <c r="D42" s="10"/>
      <c r="E42" s="10"/>
      <c r="F42" s="10"/>
      <c r="G42" s="10"/>
      <c r="H42" s="5"/>
      <c r="I42" s="22"/>
    </row>
    <row r="43" spans="1:14">
      <c r="A43" s="1" t="s">
        <v>34</v>
      </c>
      <c r="B43" s="1">
        <v>30</v>
      </c>
      <c r="C43" s="1">
        <v>2</v>
      </c>
      <c r="D43" s="10" t="s">
        <v>57</v>
      </c>
      <c r="E43" s="10"/>
      <c r="F43" s="10"/>
      <c r="G43" s="10"/>
      <c r="H43" s="5">
        <v>1.34</v>
      </c>
      <c r="I43" s="22"/>
    </row>
    <row r="44" spans="1:14">
      <c r="A44" s="1" t="s">
        <v>35</v>
      </c>
      <c r="B44" s="1">
        <v>80</v>
      </c>
      <c r="C44" s="1"/>
      <c r="D44" s="10">
        <f>7.7/2600*1000</f>
        <v>2.9615384615384617</v>
      </c>
      <c r="E44" s="10"/>
      <c r="F44" s="10"/>
      <c r="G44" s="10"/>
      <c r="H44" s="5">
        <f>+D44/1000*B44</f>
        <v>0.23692307692307693</v>
      </c>
      <c r="I44" s="22"/>
    </row>
    <row r="45" spans="1:14">
      <c r="A45" s="1" t="s">
        <v>36</v>
      </c>
      <c r="B45" s="1">
        <v>80</v>
      </c>
      <c r="C45" s="1"/>
      <c r="D45" s="10" t="s">
        <v>63</v>
      </c>
      <c r="E45" s="10"/>
      <c r="F45" s="10"/>
      <c r="G45" s="10"/>
      <c r="H45" s="5">
        <f>0.00413793103448276*80</f>
        <v>0.3310344827586208</v>
      </c>
      <c r="I45" s="22"/>
    </row>
    <row r="46" spans="1:14">
      <c r="A46" s="1" t="s">
        <v>61</v>
      </c>
      <c r="B46" s="1">
        <v>80</v>
      </c>
      <c r="C46" s="1"/>
      <c r="D46" s="10"/>
      <c r="E46" s="10"/>
      <c r="F46" s="10"/>
      <c r="G46" s="10"/>
      <c r="H46" s="5"/>
      <c r="I46" s="22"/>
    </row>
    <row r="47" spans="1:14">
      <c r="A47" s="1" t="s">
        <v>67</v>
      </c>
      <c r="B47" s="1">
        <v>70</v>
      </c>
      <c r="C47" s="1"/>
      <c r="D47" s="10"/>
      <c r="E47" s="10"/>
      <c r="F47" s="10"/>
      <c r="G47" s="10"/>
      <c r="H47" s="5">
        <v>0.24</v>
      </c>
      <c r="I47" s="22"/>
    </row>
    <row r="48" spans="1:14">
      <c r="A48" s="1" t="s">
        <v>37</v>
      </c>
      <c r="B48" s="1">
        <v>30</v>
      </c>
      <c r="C48" s="1">
        <v>2</v>
      </c>
      <c r="D48" s="10" t="s">
        <v>58</v>
      </c>
      <c r="E48" s="10"/>
      <c r="F48" s="10"/>
      <c r="G48" s="10"/>
      <c r="H48" s="5">
        <f>7.6/1200*B48</f>
        <v>0.19</v>
      </c>
      <c r="I48" s="22"/>
    </row>
    <row r="49" spans="1:9">
      <c r="A49" s="8" t="s">
        <v>44</v>
      </c>
      <c r="B49" s="1"/>
      <c r="C49" s="1"/>
      <c r="D49" s="10">
        <v>27.8</v>
      </c>
      <c r="E49" s="10"/>
      <c r="F49" s="10"/>
      <c r="G49" s="10"/>
      <c r="H49" s="9"/>
      <c r="I49" s="22"/>
    </row>
    <row r="50" spans="1:9">
      <c r="A50" s="8" t="s">
        <v>45</v>
      </c>
      <c r="B50" s="1"/>
      <c r="C50" s="1"/>
      <c r="D50" s="10">
        <f>1.25*1.2</f>
        <v>1.5</v>
      </c>
      <c r="E50" s="10"/>
      <c r="F50" s="10"/>
      <c r="G50" s="10">
        <v>0.77</v>
      </c>
      <c r="H50" s="9"/>
      <c r="I50" s="22"/>
    </row>
    <row r="51" spans="1:9">
      <c r="A51" s="8" t="s">
        <v>46</v>
      </c>
      <c r="B51" s="1"/>
      <c r="C51" s="1"/>
      <c r="D51" s="10">
        <v>4.9000000000000004</v>
      </c>
      <c r="E51" s="10"/>
      <c r="F51" s="10"/>
      <c r="G51" s="10">
        <v>3.55</v>
      </c>
      <c r="H51" s="9"/>
      <c r="I51" s="22"/>
    </row>
    <row r="52" spans="1:9">
      <c r="A52" s="8" t="s">
        <v>47</v>
      </c>
      <c r="B52" s="1"/>
      <c r="C52" s="1"/>
      <c r="D52" s="10">
        <v>0.4</v>
      </c>
      <c r="E52" s="10"/>
      <c r="F52" s="10"/>
      <c r="G52" s="10"/>
      <c r="H52" s="9"/>
      <c r="I52" s="22"/>
    </row>
    <row r="53" spans="1:9">
      <c r="A53" s="8" t="s">
        <v>48</v>
      </c>
      <c r="B53" s="1"/>
      <c r="C53" s="1"/>
      <c r="D53" s="10">
        <v>3.47</v>
      </c>
      <c r="E53" s="10"/>
      <c r="F53" s="10"/>
      <c r="G53" s="10"/>
      <c r="H53" s="9"/>
      <c r="I53" s="22"/>
    </row>
    <row r="54" spans="1:9">
      <c r="A54" s="8" t="s">
        <v>50</v>
      </c>
      <c r="B54" s="1"/>
      <c r="C54" s="1"/>
      <c r="D54" s="10">
        <v>7</v>
      </c>
      <c r="E54" s="10"/>
      <c r="F54" s="10">
        <v>3.6</v>
      </c>
      <c r="G54" s="10">
        <v>3.6</v>
      </c>
      <c r="H54" s="9"/>
      <c r="I54" s="22"/>
    </row>
    <row r="55" spans="1:9">
      <c r="A55" s="8" t="s">
        <v>51</v>
      </c>
      <c r="B55" s="1"/>
      <c r="C55" s="1"/>
      <c r="D55" s="10">
        <v>23</v>
      </c>
      <c r="E55" s="10"/>
      <c r="F55" s="10"/>
      <c r="G55" s="10"/>
      <c r="H55" s="9"/>
      <c r="I55" s="22"/>
    </row>
    <row r="56" spans="1:9">
      <c r="A56" s="8" t="s">
        <v>55</v>
      </c>
      <c r="B56" s="1"/>
      <c r="C56" s="1"/>
      <c r="D56" s="10">
        <v>11</v>
      </c>
      <c r="E56" s="10"/>
      <c r="F56" s="10"/>
      <c r="G56" s="10"/>
      <c r="H56" s="9"/>
      <c r="I56" s="22"/>
    </row>
    <row r="57" spans="1:9">
      <c r="A57" s="8" t="s">
        <v>56</v>
      </c>
      <c r="B57" s="1"/>
      <c r="C57" s="1"/>
      <c r="D57" s="10">
        <v>20</v>
      </c>
      <c r="E57" s="10"/>
      <c r="F57" s="10"/>
      <c r="G57" s="10"/>
      <c r="H57" s="9"/>
      <c r="I57" s="22"/>
    </row>
    <row r="58" spans="1:9">
      <c r="A58" s="8" t="s">
        <v>60</v>
      </c>
      <c r="B58" s="1">
        <v>15</v>
      </c>
      <c r="C58" s="1"/>
      <c r="D58" s="1">
        <v>19.66</v>
      </c>
      <c r="E58" s="1"/>
      <c r="F58" s="1"/>
      <c r="G58" s="1"/>
      <c r="H58" s="1">
        <v>0.26</v>
      </c>
      <c r="I58" s="25"/>
    </row>
    <row r="59" spans="1:9">
      <c r="A59" s="1" t="s">
        <v>62</v>
      </c>
      <c r="B59" s="1">
        <v>10</v>
      </c>
      <c r="C59" s="1"/>
      <c r="D59" s="1">
        <v>7.5</v>
      </c>
      <c r="E59" s="1"/>
      <c r="F59" s="1"/>
      <c r="G59" s="1"/>
      <c r="H59" s="1">
        <f>7.5/1000*8</f>
        <v>0.06</v>
      </c>
      <c r="I59" s="25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B19" sqref="B19"/>
    </sheetView>
  </sheetViews>
  <sheetFormatPr defaultRowHeight="14.5"/>
  <cols>
    <col min="1" max="1" width="17.26953125" bestFit="1" customWidth="1"/>
    <col min="2" max="2" width="14.1796875" bestFit="1" customWidth="1"/>
  </cols>
  <sheetData>
    <row r="1" spans="1:3">
      <c r="A1" s="9" t="s">
        <v>39</v>
      </c>
      <c r="B1" s="9" t="s">
        <v>87</v>
      </c>
      <c r="C1" s="9" t="s">
        <v>88</v>
      </c>
    </row>
    <row r="2" spans="1:3">
      <c r="A2" s="9" t="s">
        <v>80</v>
      </c>
      <c r="B2" s="9">
        <v>0.95</v>
      </c>
      <c r="C2" s="9">
        <f>0.95/50</f>
        <v>1.9E-2</v>
      </c>
    </row>
    <row r="3" spans="1:3">
      <c r="A3" s="9" t="s">
        <v>81</v>
      </c>
      <c r="B3" s="9">
        <v>0.95</v>
      </c>
      <c r="C3" s="9">
        <f>0.95/50</f>
        <v>1.9E-2</v>
      </c>
    </row>
    <row r="4" spans="1:3">
      <c r="A4" s="9" t="s">
        <v>85</v>
      </c>
      <c r="B4" s="9">
        <v>5.0999999999999996</v>
      </c>
      <c r="C4" s="9">
        <f>5.1/1000</f>
        <v>5.0999999999999995E-3</v>
      </c>
    </row>
    <row r="5" spans="1:3">
      <c r="A5" s="9" t="s">
        <v>86</v>
      </c>
      <c r="B5" s="9">
        <v>7.7</v>
      </c>
      <c r="C5" s="9">
        <f>7.7/500</f>
        <v>1.54E-2</v>
      </c>
    </row>
    <row r="6" spans="1:3">
      <c r="A6" s="9" t="s">
        <v>82</v>
      </c>
      <c r="B6" s="9">
        <v>3.8</v>
      </c>
      <c r="C6" s="9">
        <f>3.8/50</f>
        <v>7.5999999999999998E-2</v>
      </c>
    </row>
    <row r="7" spans="1:3">
      <c r="A7" s="9" t="s">
        <v>83</v>
      </c>
      <c r="B7" s="9">
        <v>6.3</v>
      </c>
      <c r="C7" s="31">
        <f>6.3/50</f>
        <v>0.126</v>
      </c>
    </row>
    <row r="8" spans="1:3">
      <c r="A8" s="9" t="s">
        <v>89</v>
      </c>
      <c r="B8" s="9">
        <v>3.45</v>
      </c>
      <c r="C8" s="31">
        <f>3.45/50</f>
        <v>6.9000000000000006E-2</v>
      </c>
    </row>
    <row r="9" spans="1:3">
      <c r="A9" s="9" t="s">
        <v>84</v>
      </c>
      <c r="B9" s="9">
        <v>7.1</v>
      </c>
      <c r="C9" s="9">
        <f>7.1/50</f>
        <v>0.14199999999999999</v>
      </c>
    </row>
    <row r="10" spans="1:3">
      <c r="A10" s="9" t="s">
        <v>90</v>
      </c>
      <c r="B10" s="9"/>
      <c r="C10" s="9"/>
    </row>
    <row r="11" spans="1:3">
      <c r="A11" s="9" t="s">
        <v>91</v>
      </c>
      <c r="B11" s="9">
        <v>2.4</v>
      </c>
      <c r="C11" s="9">
        <f>2.4/100</f>
        <v>2.4E-2</v>
      </c>
    </row>
    <row r="12" spans="1:3">
      <c r="A12" s="9" t="s">
        <v>92</v>
      </c>
      <c r="B12" s="9">
        <v>5.2</v>
      </c>
      <c r="C12" s="9">
        <f>5.2/50</f>
        <v>0.10400000000000001</v>
      </c>
    </row>
    <row r="13" spans="1:3">
      <c r="A13" s="9" t="s">
        <v>93</v>
      </c>
      <c r="B13" s="9">
        <v>5.9</v>
      </c>
      <c r="C13" s="9">
        <f>5.9/50</f>
        <v>0.11800000000000001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10"/>
  <sheetViews>
    <sheetView workbookViewId="0">
      <selection activeCell="F13" sqref="F13"/>
    </sheetView>
  </sheetViews>
  <sheetFormatPr defaultRowHeight="14.5"/>
  <cols>
    <col min="1" max="1" width="9.453125" bestFit="1" customWidth="1"/>
    <col min="4" max="4" width="9.6328125" bestFit="1" customWidth="1"/>
  </cols>
  <sheetData>
    <row r="2" spans="1:5" ht="58">
      <c r="A2" s="2" t="s">
        <v>39</v>
      </c>
      <c r="B2" s="3" t="s">
        <v>41</v>
      </c>
      <c r="C2" s="3" t="s">
        <v>40</v>
      </c>
      <c r="D2" s="3" t="s">
        <v>43</v>
      </c>
      <c r="E2" s="4" t="s">
        <v>49</v>
      </c>
    </row>
    <row r="3" spans="1:5">
      <c r="A3" s="11" t="s">
        <v>2</v>
      </c>
      <c r="B3" s="1">
        <v>70</v>
      </c>
      <c r="C3" s="1">
        <v>2</v>
      </c>
      <c r="D3" s="10">
        <v>7.9</v>
      </c>
      <c r="E3" s="5">
        <v>0.55000000000000004</v>
      </c>
    </row>
    <row r="4" spans="1:5">
      <c r="A4" s="11" t="s">
        <v>6</v>
      </c>
      <c r="B4" s="1">
        <v>78</v>
      </c>
      <c r="C4" s="1">
        <v>2</v>
      </c>
      <c r="D4" s="10">
        <v>17.03</v>
      </c>
      <c r="E4" s="5">
        <v>1.3283400000000001</v>
      </c>
    </row>
    <row r="5" spans="1:5">
      <c r="A5" s="11" t="s">
        <v>11</v>
      </c>
      <c r="B5" s="1">
        <v>90</v>
      </c>
      <c r="C5" s="1">
        <v>2</v>
      </c>
      <c r="D5" s="10">
        <v>3.8</v>
      </c>
      <c r="E5" s="5">
        <v>0.34200000000000003</v>
      </c>
    </row>
    <row r="6" spans="1:5">
      <c r="A6" s="11" t="s">
        <v>12</v>
      </c>
      <c r="B6" s="1">
        <v>78</v>
      </c>
      <c r="C6" s="1">
        <v>3</v>
      </c>
      <c r="D6" s="10">
        <v>6</v>
      </c>
      <c r="E6" s="5">
        <v>0.46800000000000003</v>
      </c>
    </row>
    <row r="7" spans="1:5">
      <c r="A7" s="12" t="s">
        <v>18</v>
      </c>
      <c r="B7" s="1">
        <v>66</v>
      </c>
      <c r="C7" s="1">
        <v>2</v>
      </c>
      <c r="D7" s="10">
        <v>5.6250000000000009</v>
      </c>
      <c r="E7" s="5">
        <v>0.37125000000000002</v>
      </c>
    </row>
    <row r="8" spans="1:5">
      <c r="A8" s="12" t="s">
        <v>21</v>
      </c>
      <c r="B8" s="1">
        <v>60</v>
      </c>
      <c r="C8" s="1">
        <v>2</v>
      </c>
      <c r="D8" s="10">
        <v>13.043478260869565</v>
      </c>
      <c r="E8" s="5">
        <v>0.78260869565217384</v>
      </c>
    </row>
    <row r="9" spans="1:5">
      <c r="A9" s="11" t="s">
        <v>14</v>
      </c>
      <c r="B9" s="1">
        <v>84</v>
      </c>
      <c r="C9" s="1">
        <v>2</v>
      </c>
      <c r="D9" s="10">
        <v>1.7</v>
      </c>
      <c r="E9" s="5">
        <v>0.14279999999999998</v>
      </c>
    </row>
    <row r="10" spans="1:5">
      <c r="E10" s="30">
        <f>SUM(E3:E9)</f>
        <v>3.9849986956521737</v>
      </c>
    </row>
  </sheetData>
  <pageMargins left="0" right="0" top="0" bottom="0" header="0" footer="0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topLeftCell="A4" workbookViewId="0">
      <selection activeCell="J11" sqref="J11"/>
    </sheetView>
  </sheetViews>
  <sheetFormatPr defaultRowHeight="14.5"/>
  <cols>
    <col min="1" max="1" width="11" customWidth="1"/>
    <col min="4" max="4" width="28.08984375" bestFit="1" customWidth="1"/>
  </cols>
  <sheetData>
    <row r="1" spans="1:6" ht="58">
      <c r="A1" s="2" t="s">
        <v>39</v>
      </c>
      <c r="B1" s="3" t="s">
        <v>41</v>
      </c>
      <c r="C1" s="3" t="s">
        <v>40</v>
      </c>
      <c r="D1" s="3" t="s">
        <v>43</v>
      </c>
      <c r="E1" s="3" t="s">
        <v>70</v>
      </c>
      <c r="F1">
        <v>1000</v>
      </c>
    </row>
    <row r="2" spans="1:6">
      <c r="A2" s="1" t="s">
        <v>8</v>
      </c>
      <c r="B2" s="1">
        <v>25</v>
      </c>
      <c r="C2" s="1">
        <v>1</v>
      </c>
      <c r="D2" s="10">
        <v>3</v>
      </c>
      <c r="E2" s="6">
        <v>0.5</v>
      </c>
    </row>
    <row r="3" spans="1:6">
      <c r="A3" s="1" t="s">
        <v>10</v>
      </c>
      <c r="B3" s="1">
        <v>110</v>
      </c>
      <c r="C3" s="1">
        <v>2</v>
      </c>
      <c r="D3" s="10">
        <v>4.4000000000000004</v>
      </c>
      <c r="E3" s="5">
        <v>0.48400000000000004</v>
      </c>
    </row>
    <row r="4" spans="1:6">
      <c r="A4" s="1" t="s">
        <v>11</v>
      </c>
      <c r="B4" s="1">
        <v>90</v>
      </c>
      <c r="C4" s="1">
        <v>2</v>
      </c>
      <c r="D4" s="10">
        <v>3.8</v>
      </c>
      <c r="E4" s="5">
        <v>0.34200000000000003</v>
      </c>
    </row>
    <row r="5" spans="1:6">
      <c r="A5" s="1" t="s">
        <v>12</v>
      </c>
      <c r="B5" s="1">
        <v>78</v>
      </c>
      <c r="C5" s="1">
        <v>3</v>
      </c>
      <c r="D5" s="10">
        <v>6</v>
      </c>
      <c r="E5" s="5">
        <v>0.46800000000000003</v>
      </c>
    </row>
    <row r="6" spans="1:6">
      <c r="A6" s="1" t="s">
        <v>15</v>
      </c>
      <c r="B6" s="1">
        <v>76</v>
      </c>
      <c r="C6" s="1">
        <v>2</v>
      </c>
      <c r="D6" s="10">
        <v>3.6</v>
      </c>
      <c r="E6" s="5">
        <v>0.27360000000000001</v>
      </c>
    </row>
    <row r="7" spans="1:6">
      <c r="A7" s="1" t="s">
        <v>16</v>
      </c>
      <c r="B7" s="1">
        <v>27</v>
      </c>
      <c r="C7" s="1">
        <v>4</v>
      </c>
      <c r="D7" s="10">
        <v>7.8</v>
      </c>
      <c r="E7" s="5">
        <v>0.21059999999999998</v>
      </c>
    </row>
    <row r="8" spans="1:6">
      <c r="A8" s="1" t="s">
        <v>22</v>
      </c>
      <c r="B8" s="1">
        <v>65</v>
      </c>
      <c r="C8" s="1">
        <v>2</v>
      </c>
      <c r="D8" s="10">
        <v>10.5</v>
      </c>
      <c r="E8" s="5">
        <v>0.6825</v>
      </c>
    </row>
    <row r="9" spans="1:6">
      <c r="A9" s="1" t="s">
        <v>30</v>
      </c>
      <c r="B9" s="1">
        <v>20</v>
      </c>
      <c r="C9" s="1">
        <v>2</v>
      </c>
      <c r="D9" s="10" t="s">
        <v>59</v>
      </c>
      <c r="E9" s="5">
        <v>0.28000000000000003</v>
      </c>
    </row>
    <row r="10" spans="1:6">
      <c r="E10">
        <v>3.2407000000000004</v>
      </c>
    </row>
  </sheetData>
  <pageMargins left="0" right="0" top="0" bottom="0" header="0" footer="0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D11" sqref="D11"/>
    </sheetView>
  </sheetViews>
  <sheetFormatPr defaultRowHeight="14.5"/>
  <cols>
    <col min="1" max="1" width="12.81640625" customWidth="1"/>
    <col min="4" max="4" width="21.90625" bestFit="1" customWidth="1"/>
  </cols>
  <sheetData>
    <row r="1" spans="1:5" ht="58">
      <c r="A1" s="2" t="s">
        <v>39</v>
      </c>
      <c r="B1" s="3" t="s">
        <v>41</v>
      </c>
      <c r="C1" s="3" t="s">
        <v>40</v>
      </c>
      <c r="D1" s="3" t="s">
        <v>43</v>
      </c>
      <c r="E1" s="3" t="s">
        <v>70</v>
      </c>
    </row>
    <row r="2" spans="1:5">
      <c r="A2" s="1" t="s">
        <v>0</v>
      </c>
      <c r="B2" s="1">
        <v>80</v>
      </c>
      <c r="C2" s="1">
        <v>2</v>
      </c>
      <c r="D2" s="10">
        <v>15.78</v>
      </c>
      <c r="E2" s="5">
        <v>1.3280000000000001</v>
      </c>
    </row>
    <row r="3" spans="1:5">
      <c r="A3" s="1" t="s">
        <v>3</v>
      </c>
      <c r="B3" s="1">
        <v>40</v>
      </c>
      <c r="C3" s="1">
        <v>2</v>
      </c>
      <c r="D3" s="10">
        <v>14.639999999999999</v>
      </c>
      <c r="E3" s="5">
        <v>0.57599999999999996</v>
      </c>
    </row>
    <row r="4" spans="1:5">
      <c r="A4" s="1" t="s">
        <v>9</v>
      </c>
      <c r="B4" s="1">
        <v>128</v>
      </c>
      <c r="C4" s="1">
        <v>5</v>
      </c>
      <c r="D4" s="10">
        <v>6.4</v>
      </c>
      <c r="E4" s="5">
        <v>0.81920000000000004</v>
      </c>
    </row>
    <row r="5" spans="1:5">
      <c r="A5" s="1" t="s">
        <v>10</v>
      </c>
      <c r="B5" s="1">
        <v>110</v>
      </c>
      <c r="C5" s="1">
        <v>2</v>
      </c>
      <c r="D5" s="10">
        <v>4.4000000000000004</v>
      </c>
      <c r="E5" s="5">
        <v>0.48400000000000004</v>
      </c>
    </row>
    <row r="6" spans="1:5">
      <c r="A6" s="1" t="s">
        <v>11</v>
      </c>
      <c r="B6" s="1">
        <v>90</v>
      </c>
      <c r="C6" s="1">
        <v>2</v>
      </c>
      <c r="D6" s="10">
        <v>3.8</v>
      </c>
      <c r="E6" s="5">
        <v>0.34200000000000003</v>
      </c>
    </row>
    <row r="7" spans="1:5">
      <c r="A7" s="1" t="s">
        <v>26</v>
      </c>
      <c r="B7" s="1">
        <v>45</v>
      </c>
      <c r="C7" s="1">
        <v>2</v>
      </c>
      <c r="D7" s="10">
        <v>1.3859999999999999</v>
      </c>
      <c r="E7" s="5">
        <v>0.10519480519480519</v>
      </c>
    </row>
    <row r="8" spans="1:5">
      <c r="A8" s="1" t="s">
        <v>36</v>
      </c>
      <c r="B8" s="1">
        <v>80</v>
      </c>
      <c r="C8" s="1"/>
      <c r="D8" s="10" t="s">
        <v>63</v>
      </c>
      <c r="E8" s="5">
        <v>0.3310344827586208</v>
      </c>
    </row>
    <row r="9" spans="1:5">
      <c r="E9">
        <v>2.3263948051948051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E18" sqref="E18"/>
    </sheetView>
  </sheetViews>
  <sheetFormatPr defaultRowHeight="14.5"/>
  <cols>
    <col min="4" max="4" width="9.6328125" bestFit="1" customWidth="1"/>
  </cols>
  <sheetData>
    <row r="1" spans="1:6" ht="46.5" customHeight="1">
      <c r="A1" s="2" t="s">
        <v>39</v>
      </c>
      <c r="B1" s="3" t="s">
        <v>41</v>
      </c>
      <c r="C1" s="3" t="s">
        <v>40</v>
      </c>
      <c r="D1" s="3" t="s">
        <v>43</v>
      </c>
      <c r="E1" s="3" t="s">
        <v>70</v>
      </c>
      <c r="F1">
        <v>1000</v>
      </c>
    </row>
    <row r="2" spans="1:6">
      <c r="A2" s="1" t="s">
        <v>0</v>
      </c>
      <c r="B2" s="1">
        <v>80</v>
      </c>
      <c r="C2" s="1">
        <v>2</v>
      </c>
      <c r="D2" s="10">
        <v>15.78</v>
      </c>
      <c r="E2" s="5">
        <v>1.3280000000000001</v>
      </c>
    </row>
    <row r="3" spans="1:6">
      <c r="A3" s="1" t="s">
        <v>8</v>
      </c>
      <c r="B3" s="1">
        <v>25</v>
      </c>
      <c r="C3" s="1">
        <v>1</v>
      </c>
      <c r="D3" s="10">
        <v>3</v>
      </c>
      <c r="E3" s="6">
        <v>0.5</v>
      </c>
    </row>
    <row r="4" spans="1:6">
      <c r="A4" s="1" t="s">
        <v>9</v>
      </c>
      <c r="B4" s="1">
        <v>128</v>
      </c>
      <c r="C4" s="1">
        <v>5</v>
      </c>
      <c r="D4" s="10">
        <v>6.4</v>
      </c>
      <c r="E4" s="5">
        <v>0.81920000000000004</v>
      </c>
    </row>
    <row r="5" spans="1:6">
      <c r="A5" s="1" t="s">
        <v>11</v>
      </c>
      <c r="B5" s="1">
        <v>90</v>
      </c>
      <c r="C5" s="1">
        <v>2</v>
      </c>
      <c r="D5" s="10">
        <v>3.8</v>
      </c>
      <c r="E5" s="5">
        <v>0.34200000000000003</v>
      </c>
    </row>
    <row r="6" spans="1:6">
      <c r="A6" s="1" t="s">
        <v>15</v>
      </c>
      <c r="B6" s="1">
        <v>76</v>
      </c>
      <c r="C6" s="1">
        <v>2</v>
      </c>
      <c r="D6" s="10">
        <v>3.6</v>
      </c>
      <c r="E6" s="5">
        <v>0.27360000000000001</v>
      </c>
    </row>
    <row r="7" spans="1:6">
      <c r="A7" s="1" t="s">
        <v>38</v>
      </c>
      <c r="B7" s="1">
        <v>140</v>
      </c>
      <c r="C7" s="1">
        <v>4</v>
      </c>
      <c r="D7" s="10">
        <v>1</v>
      </c>
      <c r="E7" s="5">
        <v>0.14000000000000001</v>
      </c>
    </row>
    <row r="8" spans="1:6">
      <c r="E8">
        <v>2.0748000000000002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F7" sqref="F7"/>
    </sheetView>
  </sheetViews>
  <sheetFormatPr defaultRowHeight="14.5"/>
  <sheetData>
    <row r="1" spans="1:6">
      <c r="A1" s="1" t="s">
        <v>108</v>
      </c>
      <c r="B1" s="35" t="s">
        <v>109</v>
      </c>
      <c r="C1" s="35" t="s">
        <v>111</v>
      </c>
      <c r="D1" s="35" t="s">
        <v>112</v>
      </c>
      <c r="E1" s="35" t="s">
        <v>113</v>
      </c>
      <c r="F1" s="35" t="s">
        <v>114</v>
      </c>
    </row>
    <row r="2" spans="1:6">
      <c r="A2" s="1" t="s">
        <v>103</v>
      </c>
      <c r="B2" s="1">
        <v>50</v>
      </c>
      <c r="C2" s="1">
        <v>11</v>
      </c>
      <c r="D2" s="1">
        <v>2</v>
      </c>
      <c r="E2" s="1">
        <v>1</v>
      </c>
      <c r="F2" s="1">
        <v>0</v>
      </c>
    </row>
    <row r="3" spans="1:6">
      <c r="A3" s="1" t="s">
        <v>104</v>
      </c>
      <c r="B3" s="1">
        <v>130</v>
      </c>
      <c r="C3" s="1">
        <v>116</v>
      </c>
      <c r="D3" s="1">
        <v>30</v>
      </c>
      <c r="E3" s="1">
        <v>1</v>
      </c>
      <c r="F3" s="1">
        <v>0</v>
      </c>
    </row>
    <row r="4" spans="1:6">
      <c r="A4" s="1" t="s">
        <v>105</v>
      </c>
      <c r="B4" s="1">
        <v>20</v>
      </c>
      <c r="C4" s="1">
        <v>97</v>
      </c>
      <c r="D4" s="1">
        <v>8</v>
      </c>
      <c r="E4" s="1">
        <v>3</v>
      </c>
      <c r="F4" s="1">
        <v>6</v>
      </c>
    </row>
    <row r="5" spans="1:6">
      <c r="A5" s="1" t="s">
        <v>106</v>
      </c>
      <c r="B5" s="1">
        <v>40</v>
      </c>
      <c r="C5" s="1">
        <v>24</v>
      </c>
      <c r="D5" s="1">
        <v>6</v>
      </c>
      <c r="E5" s="1">
        <v>0</v>
      </c>
      <c r="F5" s="1">
        <v>0</v>
      </c>
    </row>
    <row r="6" spans="1:6">
      <c r="A6" s="1" t="s">
        <v>116</v>
      </c>
      <c r="B6" s="1">
        <v>300</v>
      </c>
      <c r="C6" s="1">
        <v>150</v>
      </c>
      <c r="D6" s="1">
        <v>14</v>
      </c>
      <c r="E6" s="1">
        <v>10</v>
      </c>
      <c r="F6" s="1">
        <v>6</v>
      </c>
    </row>
    <row r="7" spans="1:6">
      <c r="A7" s="1" t="s">
        <v>107</v>
      </c>
      <c r="B7" s="1">
        <v>1</v>
      </c>
      <c r="C7" s="1">
        <v>0</v>
      </c>
      <c r="D7" s="1">
        <v>0</v>
      </c>
      <c r="E7" s="1">
        <v>0</v>
      </c>
      <c r="F7" s="1">
        <v>0</v>
      </c>
    </row>
    <row r="8" spans="1:6">
      <c r="A8" s="37" t="s">
        <v>115</v>
      </c>
      <c r="B8" s="38">
        <f>SUM(B2:B7)</f>
        <v>541</v>
      </c>
      <c r="C8" s="38">
        <f>SUM(C2:C7)</f>
        <v>398</v>
      </c>
      <c r="D8" s="38">
        <f t="shared" ref="D8:F8" si="0">SUM(D2:D7)</f>
        <v>60</v>
      </c>
      <c r="E8" s="38">
        <f t="shared" si="0"/>
        <v>15</v>
      </c>
      <c r="F8" s="38">
        <f t="shared" si="0"/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F6" sqref="F6"/>
    </sheetView>
  </sheetViews>
  <sheetFormatPr defaultRowHeight="14.5"/>
  <cols>
    <col min="1" max="1" width="9.7265625" bestFit="1" customWidth="1"/>
  </cols>
  <sheetData>
    <row r="1" spans="1:6">
      <c r="A1" s="35" t="s">
        <v>108</v>
      </c>
      <c r="B1" s="35" t="s">
        <v>109</v>
      </c>
      <c r="C1" s="35" t="s">
        <v>111</v>
      </c>
      <c r="D1" s="35" t="s">
        <v>112</v>
      </c>
      <c r="E1" s="35" t="s">
        <v>113</v>
      </c>
      <c r="F1" s="35" t="s">
        <v>114</v>
      </c>
    </row>
    <row r="2" spans="1:6">
      <c r="A2" s="1" t="s">
        <v>104</v>
      </c>
      <c r="B2" s="1">
        <v>130</v>
      </c>
      <c r="C2" s="1">
        <v>116</v>
      </c>
      <c r="D2" s="1">
        <v>30</v>
      </c>
      <c r="E2" s="1">
        <v>1</v>
      </c>
      <c r="F2" s="1">
        <v>0</v>
      </c>
    </row>
    <row r="3" spans="1:6">
      <c r="A3" s="1" t="s">
        <v>117</v>
      </c>
      <c r="B3" s="1">
        <v>18</v>
      </c>
      <c r="C3" s="1">
        <v>104</v>
      </c>
      <c r="D3" s="1">
        <v>4</v>
      </c>
      <c r="E3" s="1">
        <v>4</v>
      </c>
      <c r="F3" s="1">
        <v>9</v>
      </c>
    </row>
    <row r="4" spans="1:6">
      <c r="A4" s="1" t="s">
        <v>118</v>
      </c>
      <c r="B4" s="1">
        <v>30</v>
      </c>
      <c r="C4" s="1">
        <v>302</v>
      </c>
      <c r="D4" s="1">
        <v>51</v>
      </c>
      <c r="E4" s="1">
        <v>11</v>
      </c>
      <c r="F4" s="1">
        <v>6</v>
      </c>
    </row>
    <row r="5" spans="1:6">
      <c r="A5" s="1" t="s">
        <v>119</v>
      </c>
      <c r="B5" s="1">
        <v>350</v>
      </c>
      <c r="C5" s="1">
        <v>175</v>
      </c>
      <c r="D5" s="1">
        <v>17</v>
      </c>
      <c r="E5" s="1">
        <v>12</v>
      </c>
      <c r="F5" s="1">
        <v>7</v>
      </c>
    </row>
    <row r="6" spans="1:6">
      <c r="A6" s="1" t="s">
        <v>120</v>
      </c>
      <c r="B6" s="1">
        <v>30</v>
      </c>
      <c r="C6" s="1">
        <v>91</v>
      </c>
      <c r="D6" s="1">
        <v>25</v>
      </c>
      <c r="E6" s="1">
        <v>0</v>
      </c>
      <c r="F6" s="1">
        <v>0</v>
      </c>
    </row>
    <row r="7" spans="1:6">
      <c r="A7" s="1" t="s">
        <v>121</v>
      </c>
      <c r="B7" s="1">
        <v>1</v>
      </c>
      <c r="C7" s="1">
        <v>2</v>
      </c>
      <c r="D7" s="1">
        <v>1</v>
      </c>
      <c r="E7" s="1">
        <v>0</v>
      </c>
      <c r="F7" s="1">
        <v>0</v>
      </c>
    </row>
    <row r="8" spans="1:6">
      <c r="A8" s="36" t="s">
        <v>115</v>
      </c>
      <c r="B8" s="36">
        <f>SUM(B2:B7)</f>
        <v>559</v>
      </c>
      <c r="C8" s="36">
        <f>SUM(C2:C7)</f>
        <v>790</v>
      </c>
      <c r="D8" s="36">
        <f>SUM(D2:D7)</f>
        <v>128</v>
      </c>
      <c r="E8" s="36">
        <f>SUM(E2:E7)</f>
        <v>28</v>
      </c>
      <c r="F8" s="36">
        <f>SUM(F2:F7)</f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C7" sqref="C7"/>
    </sheetView>
  </sheetViews>
  <sheetFormatPr defaultRowHeight="14.5"/>
  <cols>
    <col min="1" max="1" width="10.81640625" bestFit="1" customWidth="1"/>
  </cols>
  <sheetData>
    <row r="1" spans="1:6">
      <c r="A1" s="9" t="s">
        <v>108</v>
      </c>
      <c r="B1" s="35" t="s">
        <v>109</v>
      </c>
      <c r="C1" s="35" t="s">
        <v>111</v>
      </c>
      <c r="D1" s="35" t="s">
        <v>112</v>
      </c>
      <c r="E1" s="35" t="s">
        <v>113</v>
      </c>
      <c r="F1" s="35" t="s">
        <v>114</v>
      </c>
    </row>
    <row r="2" spans="1:6">
      <c r="A2" s="1" t="s">
        <v>122</v>
      </c>
      <c r="B2" s="1">
        <v>210</v>
      </c>
      <c r="C2" s="1">
        <v>25</v>
      </c>
      <c r="D2" s="1">
        <v>5</v>
      </c>
      <c r="E2" s="1">
        <v>1</v>
      </c>
      <c r="F2" s="1">
        <v>0</v>
      </c>
    </row>
    <row r="3" spans="1:6">
      <c r="A3" s="1" t="s">
        <v>123</v>
      </c>
      <c r="B3" s="1">
        <v>26</v>
      </c>
      <c r="C3" s="1">
        <v>9</v>
      </c>
      <c r="D3" s="1">
        <v>2</v>
      </c>
      <c r="E3" s="1">
        <v>1</v>
      </c>
      <c r="F3" s="1">
        <v>0</v>
      </c>
    </row>
    <row r="4" spans="1:6">
      <c r="A4" s="1" t="s">
        <v>103</v>
      </c>
      <c r="B4" s="1">
        <v>38</v>
      </c>
      <c r="C4" s="1">
        <v>8</v>
      </c>
      <c r="D4" s="1">
        <v>1</v>
      </c>
      <c r="E4" s="1">
        <v>1</v>
      </c>
      <c r="F4" s="1">
        <v>0</v>
      </c>
    </row>
    <row r="5" spans="1:6">
      <c r="A5" s="1" t="s">
        <v>124</v>
      </c>
      <c r="B5" s="1">
        <v>100</v>
      </c>
      <c r="C5" s="1">
        <v>41</v>
      </c>
      <c r="D5" s="1">
        <v>10</v>
      </c>
      <c r="E5" s="1">
        <v>1</v>
      </c>
      <c r="F5" s="1">
        <v>0</v>
      </c>
    </row>
    <row r="6" spans="1:6">
      <c r="A6" s="1" t="s">
        <v>125</v>
      </c>
      <c r="B6" s="1">
        <v>310</v>
      </c>
      <c r="C6" s="1"/>
      <c r="D6" s="1"/>
      <c r="E6" s="1"/>
      <c r="F6" s="1"/>
    </row>
    <row r="7" spans="1:6">
      <c r="A7" s="36" t="s">
        <v>115</v>
      </c>
      <c r="B7" s="36">
        <f>SUM(B2:B6)</f>
        <v>684</v>
      </c>
      <c r="C7" s="36">
        <f>SUM(C2:C6)</f>
        <v>83</v>
      </c>
      <c r="D7" s="36">
        <f>SUM(B7:C7)</f>
        <v>767</v>
      </c>
      <c r="E7" s="36">
        <f>SUM(E2:E6)</f>
        <v>4</v>
      </c>
      <c r="F7" s="36">
        <f>SUM(F2:F6)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D7" sqref="D7"/>
    </sheetView>
  </sheetViews>
  <sheetFormatPr defaultRowHeight="14.5"/>
  <sheetData>
    <row r="1" spans="1:6">
      <c r="A1" s="1"/>
      <c r="B1" s="35" t="s">
        <v>132</v>
      </c>
      <c r="C1" s="35" t="s">
        <v>111</v>
      </c>
      <c r="D1" s="35" t="s">
        <v>112</v>
      </c>
      <c r="E1" s="35" t="s">
        <v>113</v>
      </c>
      <c r="F1" s="35" t="s">
        <v>114</v>
      </c>
    </row>
    <row r="2" spans="1:6">
      <c r="A2" s="1" t="s">
        <v>126</v>
      </c>
      <c r="B2" s="1">
        <v>87</v>
      </c>
      <c r="C2" s="1">
        <v>30</v>
      </c>
      <c r="D2" s="1">
        <v>6</v>
      </c>
      <c r="E2" s="1">
        <v>1</v>
      </c>
      <c r="F2" s="1">
        <v>0</v>
      </c>
    </row>
    <row r="3" spans="1:6">
      <c r="A3" s="1" t="s">
        <v>127</v>
      </c>
      <c r="B3" s="1">
        <v>49</v>
      </c>
      <c r="C3" s="1">
        <v>25</v>
      </c>
      <c r="D3" s="1">
        <v>3</v>
      </c>
      <c r="E3" s="1">
        <v>2</v>
      </c>
      <c r="F3" s="1">
        <v>0</v>
      </c>
    </row>
    <row r="4" spans="1:6">
      <c r="A4" s="1" t="s">
        <v>128</v>
      </c>
      <c r="B4" s="1">
        <v>100</v>
      </c>
      <c r="C4" s="1">
        <v>52</v>
      </c>
      <c r="D4" s="1">
        <v>14</v>
      </c>
      <c r="E4" s="1">
        <v>0</v>
      </c>
      <c r="F4" s="1">
        <v>0</v>
      </c>
    </row>
    <row r="5" spans="1:6">
      <c r="A5" s="1" t="s">
        <v>129</v>
      </c>
      <c r="B5" s="1">
        <v>210</v>
      </c>
      <c r="C5" s="1">
        <v>150</v>
      </c>
      <c r="D5" s="1">
        <v>9</v>
      </c>
      <c r="E5" s="1">
        <v>7</v>
      </c>
      <c r="F5" s="1">
        <v>6</v>
      </c>
    </row>
    <row r="6" spans="1:6">
      <c r="A6" s="1" t="s">
        <v>130</v>
      </c>
      <c r="B6" s="1">
        <v>30</v>
      </c>
      <c r="C6" s="1">
        <v>90</v>
      </c>
      <c r="D6" s="1">
        <v>25</v>
      </c>
      <c r="E6" s="1">
        <v>0</v>
      </c>
      <c r="F6" s="1">
        <v>0</v>
      </c>
    </row>
    <row r="7" spans="1:6">
      <c r="A7" s="1" t="s">
        <v>131</v>
      </c>
      <c r="B7" s="1">
        <v>55</v>
      </c>
      <c r="C7" s="1">
        <v>28</v>
      </c>
      <c r="D7" s="1">
        <v>3</v>
      </c>
      <c r="E7" s="1">
        <v>2</v>
      </c>
      <c r="F7" s="1">
        <v>2</v>
      </c>
    </row>
    <row r="8" spans="1:6">
      <c r="A8" s="35" t="s">
        <v>133</v>
      </c>
      <c r="B8" s="35">
        <f>SUM(B2:B7)</f>
        <v>531</v>
      </c>
      <c r="C8" s="35">
        <f>SUM(C2:C7)</f>
        <v>375</v>
      </c>
      <c r="D8" s="35">
        <f>SUM(D2:D7)</f>
        <v>60</v>
      </c>
      <c r="E8" s="35">
        <f>SUM(E2:E7)</f>
        <v>12</v>
      </c>
      <c r="F8" s="35">
        <f>SUM(F2:F7)</f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selection activeCell="F15" sqref="F15"/>
    </sheetView>
  </sheetViews>
  <sheetFormatPr defaultRowHeight="14.5"/>
  <cols>
    <col min="1" max="1" width="11.453125" customWidth="1"/>
  </cols>
  <sheetData>
    <row r="1" spans="1:6" ht="25" customHeight="1">
      <c r="A1" s="45" t="s">
        <v>142</v>
      </c>
      <c r="B1" s="41" t="s">
        <v>156</v>
      </c>
      <c r="C1" s="42" t="s">
        <v>112</v>
      </c>
      <c r="D1" s="43" t="s">
        <v>113</v>
      </c>
      <c r="E1" s="44" t="s">
        <v>114</v>
      </c>
    </row>
    <row r="2" spans="1:6">
      <c r="A2" s="33" t="s">
        <v>143</v>
      </c>
      <c r="B2" s="9">
        <v>243</v>
      </c>
      <c r="C2" s="9">
        <v>44</v>
      </c>
      <c r="D2" s="9">
        <v>8</v>
      </c>
      <c r="E2" s="9">
        <v>8</v>
      </c>
    </row>
    <row r="3" spans="1:6">
      <c r="A3" s="33" t="s">
        <v>144</v>
      </c>
      <c r="B3" s="9">
        <v>371</v>
      </c>
      <c r="C3" s="9">
        <v>58</v>
      </c>
      <c r="D3" s="9">
        <v>25</v>
      </c>
      <c r="E3" s="9">
        <v>6</v>
      </c>
    </row>
    <row r="4" spans="1:6">
      <c r="A4" s="33" t="s">
        <v>145</v>
      </c>
      <c r="B4" s="9">
        <v>426</v>
      </c>
      <c r="C4" s="9">
        <v>38</v>
      </c>
      <c r="D4" s="9">
        <v>9</v>
      </c>
      <c r="E4" s="9">
        <v>22</v>
      </c>
    </row>
    <row r="5" spans="1:6">
      <c r="A5" s="33" t="s">
        <v>146</v>
      </c>
      <c r="B5" s="9">
        <v>366</v>
      </c>
      <c r="C5" s="9">
        <v>60</v>
      </c>
      <c r="D5" s="9">
        <v>8</v>
      </c>
      <c r="E5" s="9">
        <v>15</v>
      </c>
    </row>
    <row r="6" spans="1:6">
      <c r="A6" s="33" t="s">
        <v>147</v>
      </c>
      <c r="B6" s="9">
        <v>640</v>
      </c>
      <c r="C6" s="9">
        <v>38</v>
      </c>
      <c r="D6" s="9">
        <v>32</v>
      </c>
      <c r="E6" s="9">
        <v>37</v>
      </c>
      <c r="F6" t="s">
        <v>157</v>
      </c>
    </row>
    <row r="7" spans="1:6">
      <c r="A7" s="33" t="s">
        <v>148</v>
      </c>
      <c r="B7" s="9">
        <v>265</v>
      </c>
      <c r="C7" s="9">
        <v>48</v>
      </c>
      <c r="D7" s="9">
        <v>10</v>
      </c>
      <c r="E7" s="9">
        <v>5</v>
      </c>
    </row>
    <row r="8" spans="1:6">
      <c r="A8" s="33" t="s">
        <v>149</v>
      </c>
      <c r="B8" s="9">
        <v>552</v>
      </c>
      <c r="C8" s="9">
        <v>43</v>
      </c>
      <c r="D8" s="9">
        <v>35</v>
      </c>
      <c r="E8" s="9">
        <v>26</v>
      </c>
    </row>
    <row r="9" spans="1:6">
      <c r="A9" s="33" t="s">
        <v>150</v>
      </c>
      <c r="B9" s="9">
        <v>387</v>
      </c>
      <c r="C9" s="9">
        <v>47</v>
      </c>
      <c r="D9" s="9">
        <v>10</v>
      </c>
      <c r="E9" s="9">
        <v>19</v>
      </c>
    </row>
    <row r="10" spans="1:6">
      <c r="A10" s="33" t="s">
        <v>151</v>
      </c>
      <c r="B10" s="9">
        <v>257</v>
      </c>
      <c r="C10" s="9">
        <v>23</v>
      </c>
      <c r="D10" s="9">
        <v>21</v>
      </c>
      <c r="E10" s="9">
        <v>10</v>
      </c>
    </row>
    <row r="11" spans="1:6">
      <c r="A11" s="33" t="s">
        <v>152</v>
      </c>
      <c r="B11" s="9">
        <v>473</v>
      </c>
      <c r="C11" s="9">
        <v>33</v>
      </c>
      <c r="D11" s="9">
        <v>35</v>
      </c>
      <c r="E11" s="9">
        <v>21</v>
      </c>
    </row>
    <row r="12" spans="1:6">
      <c r="A12" s="33" t="s">
        <v>153</v>
      </c>
      <c r="B12" s="9">
        <v>542</v>
      </c>
      <c r="C12" s="9">
        <v>36</v>
      </c>
      <c r="D12" s="9">
        <v>24</v>
      </c>
      <c r="E12" s="9">
        <v>36</v>
      </c>
    </row>
    <row r="13" spans="1:6">
      <c r="A13" s="33" t="s">
        <v>154</v>
      </c>
      <c r="B13" s="9">
        <v>355</v>
      </c>
      <c r="C13" s="9">
        <v>40</v>
      </c>
      <c r="D13" s="9">
        <v>10</v>
      </c>
      <c r="E13" s="9">
        <v>19</v>
      </c>
    </row>
    <row r="14" spans="1:6">
      <c r="A14" s="33" t="s">
        <v>155</v>
      </c>
      <c r="B14" s="9">
        <v>495</v>
      </c>
      <c r="C14" s="9">
        <v>38</v>
      </c>
      <c r="D14" s="9">
        <v>19</v>
      </c>
      <c r="E14" s="9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"/>
  <sheetViews>
    <sheetView workbookViewId="0">
      <selection sqref="A1:XFD1"/>
    </sheetView>
  </sheetViews>
  <sheetFormatPr defaultRowHeight="14.5"/>
  <sheetData>
    <row r="1" spans="1:19">
      <c r="A1" s="1" t="s">
        <v>36</v>
      </c>
      <c r="B1" s="1">
        <v>80</v>
      </c>
      <c r="C1" s="1"/>
      <c r="D1" s="10" t="s">
        <v>63</v>
      </c>
      <c r="E1" s="5">
        <f>0.00413793103448276*80</f>
        <v>0.3310344827586208</v>
      </c>
      <c r="G1" s="9"/>
      <c r="H1" s="9"/>
      <c r="I1" s="9"/>
      <c r="J1" s="9"/>
      <c r="K1" s="33">
        <f t="shared" ref="K1" si="0">+G1/100*B1</f>
        <v>0</v>
      </c>
      <c r="L1" s="9">
        <f t="shared" ref="L1" si="1">+H1/100*B1</f>
        <v>0</v>
      </c>
      <c r="M1" s="9">
        <f t="shared" ref="M1" si="2">+I1/100*B1</f>
        <v>0</v>
      </c>
      <c r="N1" s="9">
        <f t="shared" ref="N1" si="3">+J1/100*B1</f>
        <v>0</v>
      </c>
      <c r="O1" s="9">
        <v>142</v>
      </c>
      <c r="P1" s="9">
        <v>3</v>
      </c>
      <c r="Q1" s="9">
        <v>2</v>
      </c>
      <c r="R1" s="9">
        <v>13</v>
      </c>
      <c r="S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Декември</vt:lpstr>
      <vt:lpstr>февруари</vt:lpstr>
      <vt:lpstr>КУПИ</vt:lpstr>
      <vt:lpstr>засита</vt:lpstr>
      <vt:lpstr>папагал</vt:lpstr>
      <vt:lpstr>цезар</vt:lpstr>
      <vt:lpstr>изобилие</vt:lpstr>
      <vt:lpstr>зелено смути</vt:lpstr>
      <vt:lpstr>Енерджи</vt:lpstr>
      <vt:lpstr>Детокс</vt:lpstr>
      <vt:lpstr>Розово</vt:lpstr>
      <vt:lpstr>Салати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2006-11-28T10:12:39Z</dcterms:created>
  <dcterms:modified xsi:type="dcterms:W3CDTF">2026-07-06T04:04:00Z</dcterms:modified>
</cp:coreProperties>
</file>